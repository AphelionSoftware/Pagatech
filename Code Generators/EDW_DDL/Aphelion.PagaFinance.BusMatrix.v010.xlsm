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hristina\Dropbox (Data)\Pagatech\R01_Finance\BusMatrix\"/>
    </mc:Choice>
  </mc:AlternateContent>
  <bookViews>
    <workbookView xWindow="0" yWindow="0" windowWidth="20490" windowHeight="7755" tabRatio="866" activeTab="5"/>
  </bookViews>
  <sheets>
    <sheet name="Home" sheetId="16" r:id="rId1"/>
    <sheet name="Database" sheetId="21" r:id="rId2"/>
    <sheet name="ExpandedTables" sheetId="18" state="hidden" r:id="rId3"/>
    <sheet name="AllTables" sheetId="22" r:id="rId4"/>
    <sheet name="Dimensions" sheetId="13" r:id="rId5"/>
    <sheet name="Facts" sheetId="15" r:id="rId6"/>
    <sheet name="StandardColumnTemplate" sheetId="19" r:id="rId7"/>
    <sheet name="bx_Finance" sheetId="25" r:id="rId8"/>
    <sheet name="bx_Airtime" sheetId="26" r:id="rId9"/>
    <sheet name="bx_Activity" sheetId="27" r:id="rId10"/>
    <sheet name="Risk" sheetId="28" r:id="rId11"/>
    <sheet name="Marketing" sheetId="29" r:id="rId12"/>
    <sheet name="Other" sheetId="30" r:id="rId13"/>
    <sheet name="NamedRangeDefintions" sheetId="31" r:id="rId14"/>
  </sheets>
  <externalReferences>
    <externalReference r:id="rId15"/>
    <externalReference r:id="rId16"/>
  </externalReferences>
  <definedNames>
    <definedName name="_xlnm._FilterDatabase" localSheetId="3" hidden="1">AllTables!$A$1:$J$1</definedName>
    <definedName name="_xlnm._FilterDatabase" localSheetId="4" hidden="1">Dimensions!$A$2:$Q$491</definedName>
    <definedName name="_xlnm._FilterDatabase" localSheetId="2" hidden="1">ExpandedTables!$A$1:$J$44</definedName>
    <definedName name="_xlnm._FilterDatabase" localSheetId="5" hidden="1">Facts!$A$2:$S$2</definedName>
    <definedName name="BusMatrixName">AllTables!$K$2:$K$24</definedName>
    <definedName name="Description">Database!$C$4</definedName>
    <definedName name="DimHeaders" comment="Gets All Dimension Headers for Extended Properties">Dimensions!$A$2:$Q$2</definedName>
    <definedName name="DimTables" comment="Gets All Dimension Table Names">OFFSET(Dimensions!$A$4,0,0,(COUNTA(Dimensions!$A:$A)-1),1)</definedName>
    <definedName name="DtbName">Database!$C$3</definedName>
    <definedName name="FactColumns" comment="Gets All Fact Column Names">OFFSET(Facts!$B$2,0,0,(COUNTA(Facts!$A:$A)),1)</definedName>
    <definedName name="FactHeaders" comment="Get the Fact Headers for Extended Properties">Facts!$A$2:$S$2</definedName>
    <definedName name="FactTables">OFFSET(Facts!$A$2,0,0,(COUNTA(Facts!$A:$A)),1)</definedName>
    <definedName name="GenFK">Database!$C$6</definedName>
    <definedName name="StandardCols">StandardColumnTemplate!$B$3:$B$11</definedName>
    <definedName name="TableName">OFFSET(AllTables!$B$2,0,0,(COUNTA(AllTables!$A:$A)),1)</definedName>
    <definedName name="TableType">OFFSET(AllTables!$A$2,0,0,(COUNTA(AllTables!$A:$A)),1)</definedName>
    <definedName name="Version">Database!$C$5</definedName>
  </definedName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" i="25" l="1"/>
  <c r="L17" i="30" l="1"/>
  <c r="K17" i="30"/>
  <c r="J17" i="30"/>
  <c r="I17" i="30"/>
  <c r="H17" i="30"/>
  <c r="G17" i="30"/>
  <c r="F17" i="30"/>
  <c r="E17" i="30"/>
  <c r="D17" i="30"/>
  <c r="C17" i="30"/>
  <c r="B17" i="30"/>
  <c r="L17" i="29"/>
  <c r="K17" i="29"/>
  <c r="J17" i="29"/>
  <c r="I17" i="29"/>
  <c r="H17" i="29"/>
  <c r="G17" i="29"/>
  <c r="F17" i="29"/>
  <c r="E17" i="29"/>
  <c r="D17" i="29"/>
  <c r="C17" i="29"/>
  <c r="B17" i="29"/>
  <c r="J17" i="28"/>
  <c r="I17" i="28"/>
  <c r="H17" i="28"/>
  <c r="G17" i="28"/>
  <c r="F17" i="28"/>
  <c r="E17" i="28"/>
  <c r="D17" i="28"/>
  <c r="C17" i="28"/>
  <c r="B17" i="28"/>
  <c r="C17" i="27"/>
  <c r="B17" i="27"/>
  <c r="D16" i="26"/>
  <c r="C16" i="26"/>
  <c r="B16" i="26"/>
  <c r="D16" i="25"/>
  <c r="C16" i="25"/>
  <c r="C2" i="21" l="1"/>
  <c r="J3" i="18" l="1" a="1"/>
  <c r="J3" i="18" s="1"/>
  <c r="J4" i="18" a="1"/>
  <c r="J4" i="18" s="1"/>
  <c r="J5" i="18" a="1"/>
  <c r="J5" i="18" s="1"/>
  <c r="J6" i="18" a="1"/>
  <c r="J6" i="18" s="1"/>
  <c r="J7" i="18" a="1"/>
  <c r="J7" i="18" s="1"/>
  <c r="J8" i="18" a="1"/>
  <c r="J8" i="18" s="1"/>
  <c r="J9" i="18" a="1"/>
  <c r="J9" i="18" s="1"/>
  <c r="J10" i="18" a="1"/>
  <c r="J10" i="18" s="1"/>
  <c r="J11" i="18" a="1"/>
  <c r="J11" i="18" s="1"/>
  <c r="J12" i="18" a="1"/>
  <c r="J12" i="18" s="1"/>
  <c r="J13" i="18" a="1"/>
  <c r="J13" i="18" s="1"/>
  <c r="J14" i="18" a="1"/>
  <c r="J14" i="18" s="1"/>
  <c r="J15" i="18" a="1"/>
  <c r="J15" i="18" s="1"/>
  <c r="J16" i="18" a="1"/>
  <c r="J16" i="18" s="1"/>
  <c r="J17" i="18" a="1"/>
  <c r="J17" i="18" s="1"/>
  <c r="J18" i="18" a="1"/>
  <c r="J18" i="18" s="1"/>
  <c r="J19" i="18" a="1"/>
  <c r="J19" i="18" s="1"/>
  <c r="J20" i="18" a="1"/>
  <c r="J20" i="18" s="1"/>
  <c r="J21" i="18" a="1"/>
  <c r="J21" i="18" s="1"/>
  <c r="J22" i="18" a="1"/>
  <c r="J22" i="18" s="1"/>
  <c r="J23" i="18" a="1"/>
  <c r="J23" i="18" s="1"/>
  <c r="J24" i="18" a="1"/>
  <c r="J24" i="18" s="1"/>
  <c r="J25" i="18" a="1"/>
  <c r="J25" i="18" s="1"/>
  <c r="J26" i="18" a="1"/>
  <c r="J26" i="18" s="1"/>
  <c r="J27" i="18" a="1"/>
  <c r="J27" i="18" s="1"/>
  <c r="J28" i="18" a="1"/>
  <c r="J28" i="18" s="1"/>
  <c r="J29" i="18" a="1"/>
  <c r="J29" i="18" s="1"/>
  <c r="J30" i="18" a="1"/>
  <c r="J30" i="18" s="1"/>
  <c r="J31" i="18" a="1"/>
  <c r="J31" i="18" s="1"/>
  <c r="J32" i="18" a="1"/>
  <c r="J32" i="18" s="1"/>
  <c r="J33" i="18" a="1"/>
  <c r="J33" i="18" s="1"/>
  <c r="J34" i="18" a="1"/>
  <c r="J34" i="18" s="1"/>
  <c r="J35" i="18" a="1"/>
  <c r="J35" i="18" s="1"/>
  <c r="J36" i="18" a="1"/>
  <c r="J36" i="18" s="1"/>
  <c r="J37" i="18" a="1"/>
  <c r="J37" i="18" s="1"/>
  <c r="J38" i="18" a="1"/>
  <c r="J38" i="18" s="1"/>
  <c r="J39" i="18" a="1"/>
  <c r="J39" i="18" s="1"/>
  <c r="J40" i="18" a="1"/>
  <c r="J40" i="18" s="1"/>
  <c r="J41" i="18" a="1"/>
  <c r="J41" i="18" s="1"/>
  <c r="J42" i="18" a="1"/>
  <c r="J42" i="18" s="1"/>
  <c r="J43" i="18" a="1"/>
  <c r="J43" i="18" s="1"/>
  <c r="J44" i="18" a="1"/>
  <c r="J44" i="18" s="1"/>
  <c r="J2" i="18" a="1"/>
  <c r="J2" i="18" s="1"/>
</calcChain>
</file>

<file path=xl/comments1.xml><?xml version="1.0" encoding="utf-8"?>
<comments xmlns="http://schemas.openxmlformats.org/spreadsheetml/2006/main">
  <authors>
    <author>Joy</author>
  </authors>
  <commentList>
    <comment ref="C3" authorId="0" shapeId="0">
      <text>
        <r>
          <rPr>
            <sz val="9"/>
            <color indexed="81"/>
            <rFont val="Tahoma"/>
            <family val="2"/>
          </rPr>
          <t>The name of the relational DW database. You can specify a schema, such as MySchema.MyDatabase. If you don't specify a schema, the script will use dbo.</t>
        </r>
      </text>
    </comment>
    <comment ref="C4" authorId="0" shapeId="0">
      <text>
        <r>
          <rPr>
            <sz val="9"/>
            <color indexed="81"/>
            <rFont val="Tahoma"/>
            <family val="2"/>
          </rPr>
          <t>Always enter a description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 xml:space="preserve">Usually we start with GenFKs=N, so it's easier to drop database objects. See Chapter 5 for a discussion of FKs in the DW database.
</t>
        </r>
      </text>
    </comment>
  </commentList>
</comments>
</file>

<file path=xl/comments2.xml><?xml version="1.0" encoding="utf-8"?>
<comments xmlns="http://schemas.openxmlformats.org/spreadsheetml/2006/main">
  <authors>
    <author>Joy</author>
  </authors>
  <commentLis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3.xml><?xml version="1.0" encoding="utf-8"?>
<comments xmlns="http://schemas.openxmlformats.org/spreadsheetml/2006/main">
  <authors>
    <author>Joy</author>
  </authors>
  <commentList>
    <comment ref="H1" authorId="0" shapeId="0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4.xml><?xml version="1.0" encoding="utf-8"?>
<comments xmlns="http://schemas.openxmlformats.org/spreadsheetml/2006/main">
  <authors>
    <author>Joy</author>
  </authors>
  <commentList>
    <comment ref="J1" authorId="0" shapeId="0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>Example values can be as valuable as the description to convey the contents of the column.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1=Restate History
2=Track History
documentation only</t>
        </r>
      </text>
    </comment>
    <comment ref="H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I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5.xml><?xml version="1.0" encoding="utf-8"?>
<comments xmlns="http://schemas.openxmlformats.org/spreadsheetml/2006/main">
  <authors>
    <author>Christina Leo</author>
  </authors>
  <commentList>
    <comment ref="A17" authorId="0" shapeId="0">
      <text>
        <r>
          <rPr>
            <b/>
            <sz val="9"/>
            <color indexed="81"/>
            <rFont val="Tahoma"/>
            <family val="2"/>
          </rPr>
          <t>Christina Leo:</t>
        </r>
        <r>
          <rPr>
            <sz val="9"/>
            <color indexed="81"/>
            <rFont val="Tahoma"/>
            <family val="2"/>
          </rPr>
          <t xml:space="preserve">
I need to get more information from Esther regarding how this is caluclated. She mentioned checking her stock levels each day, but I can't find anything in the database that looks like what I need.
</t>
        </r>
      </text>
    </comment>
  </commentList>
</comments>
</file>

<file path=xl/sharedStrings.xml><?xml version="1.0" encoding="utf-8"?>
<sst xmlns="http://schemas.openxmlformats.org/spreadsheetml/2006/main" count="4243" uniqueCount="451">
  <si>
    <t>Facts/Dimensions</t>
  </si>
  <si>
    <t>Date</t>
  </si>
  <si>
    <t>Time</t>
  </si>
  <si>
    <t>Measures</t>
  </si>
  <si>
    <t>N</t>
  </si>
  <si>
    <t>X</t>
  </si>
  <si>
    <t>Currency</t>
  </si>
  <si>
    <t>DimCurrency</t>
  </si>
  <si>
    <t>DimEquipment</t>
  </si>
  <si>
    <t>DimEventType</t>
  </si>
  <si>
    <t>DimLocation</t>
  </si>
  <si>
    <t>DimOperator</t>
  </si>
  <si>
    <t>DimPayload</t>
  </si>
  <si>
    <t>DimPointOfInterest</t>
  </si>
  <si>
    <t>DimProduct</t>
  </si>
  <si>
    <t>DimSite</t>
  </si>
  <si>
    <t>DimTripCategory</t>
  </si>
  <si>
    <t>DimCostType</t>
  </si>
  <si>
    <t>Target</t>
  </si>
  <si>
    <t>Column Name</t>
  </si>
  <si>
    <t>Display Name</t>
  </si>
  <si>
    <t>Description</t>
  </si>
  <si>
    <t>Unknown Member</t>
  </si>
  <si>
    <t>Example Values</t>
  </si>
  <si>
    <t>SCD  Type</t>
  </si>
  <si>
    <t>Display Folder</t>
  </si>
  <si>
    <t>Comments</t>
  </si>
  <si>
    <t>Datatype</t>
  </si>
  <si>
    <t>Size</t>
  </si>
  <si>
    <t>Precision</t>
  </si>
  <si>
    <t>Key?</t>
  </si>
  <si>
    <t>FK To</t>
  </si>
  <si>
    <t>NULL?</t>
  </si>
  <si>
    <t>Default Value</t>
  </si>
  <si>
    <t>Table Type</t>
  </si>
  <si>
    <t>Table Name</t>
  </si>
  <si>
    <t>Database Schema</t>
  </si>
  <si>
    <t>Table Description</t>
  </si>
  <si>
    <t>Comment</t>
  </si>
  <si>
    <t>Biz Filter Logic</t>
  </si>
  <si>
    <t>Generate Script?</t>
  </si>
  <si>
    <t>Dimension</t>
  </si>
  <si>
    <t>Hierarchy
Name</t>
  </si>
  <si>
    <t>Aggregation Type</t>
  </si>
  <si>
    <t>DimDate</t>
  </si>
  <si>
    <t>DimTime</t>
  </si>
  <si>
    <t>Activity</t>
  </si>
  <si>
    <t>Fact</t>
  </si>
  <si>
    <t>Shared</t>
  </si>
  <si>
    <t>DimUnit</t>
  </si>
  <si>
    <t>Y</t>
  </si>
  <si>
    <t>DimArea</t>
  </si>
  <si>
    <t>DimAvailabilityLevel1</t>
  </si>
  <si>
    <t>DimAvailabilityLevel2</t>
  </si>
  <si>
    <t>DimAvailabilityLevel3</t>
  </si>
  <si>
    <t>DimAvailabilityLevel4</t>
  </si>
  <si>
    <t>DimAvailabilityLevel5</t>
  </si>
  <si>
    <t>DimChartOfAccountsLevel1</t>
  </si>
  <si>
    <t>DimChartOfAccountsLevel2</t>
  </si>
  <si>
    <t>DimChartOfAccountsLevel3</t>
  </si>
  <si>
    <t>DimCity</t>
  </si>
  <si>
    <t>DimContinent</t>
  </si>
  <si>
    <t>DimCountry</t>
  </si>
  <si>
    <t>DimCustomerLevel1</t>
  </si>
  <si>
    <t>DimCustomerLevel2</t>
  </si>
  <si>
    <t>DimCustomerLevel3</t>
  </si>
  <si>
    <t>DimExceptionLevel1</t>
  </si>
  <si>
    <t>DimExceptionLevel2</t>
  </si>
  <si>
    <t>DimExceptionLevel3</t>
  </si>
  <si>
    <t>DimExclusionLevel1</t>
  </si>
  <si>
    <t>DimExclusionLevel2</t>
  </si>
  <si>
    <t>DimExclusionLevel3</t>
  </si>
  <si>
    <t>DimManufacturer</t>
  </si>
  <si>
    <t>DimModel</t>
  </si>
  <si>
    <t>DimOrganizationLevel1</t>
  </si>
  <si>
    <t>DimOrganizationLevel2</t>
  </si>
  <si>
    <t>DimOrganizationLevel3</t>
  </si>
  <si>
    <t>DimOrganizationLevel4</t>
  </si>
  <si>
    <t>DimOrganizationLevel5</t>
  </si>
  <si>
    <t>DimProvince_State</t>
  </si>
  <si>
    <t>DimRegion</t>
  </si>
  <si>
    <t>DimUnitConversion</t>
  </si>
  <si>
    <t>Exists</t>
  </si>
  <si>
    <t>Name</t>
  </si>
  <si>
    <t>Inferred</t>
  </si>
  <si>
    <t>varchar</t>
  </si>
  <si>
    <t>Code</t>
  </si>
  <si>
    <t>SourceKeyHash</t>
  </si>
  <si>
    <t>bigint</t>
  </si>
  <si>
    <t>DeltaHash</t>
  </si>
  <si>
    <t>sysModifiedBy</t>
  </si>
  <si>
    <t>SYSTEM_USER</t>
  </si>
  <si>
    <t>sysModifiedOn</t>
  </si>
  <si>
    <t>datetime</t>
  </si>
  <si>
    <t>GETDATE()</t>
  </si>
  <si>
    <t>sysCreatedBy</t>
  </si>
  <si>
    <t>sysCreatedOn</t>
  </si>
  <si>
    <t>DimTemplate</t>
  </si>
  <si>
    <t>Date:</t>
  </si>
  <si>
    <t>Database:</t>
  </si>
  <si>
    <t>Description:</t>
  </si>
  <si>
    <t>Version:</t>
  </si>
  <si>
    <t>Gen FKs?:</t>
  </si>
  <si>
    <t>Materialise</t>
  </si>
  <si>
    <t>UNIQUE?</t>
  </si>
  <si>
    <t>SourceKey</t>
  </si>
  <si>
    <t>decimal</t>
  </si>
  <si>
    <t>int</t>
  </si>
  <si>
    <t>FK</t>
  </si>
  <si>
    <t>ISOCode</t>
  </si>
  <si>
    <t>char</t>
  </si>
  <si>
    <t>Version</t>
  </si>
  <si>
    <t>FirstName</t>
  </si>
  <si>
    <t>LastName</t>
  </si>
  <si>
    <t>SCD Type</t>
  </si>
  <si>
    <t>ColOrder</t>
  </si>
  <si>
    <t>BusinessKey</t>
  </si>
  <si>
    <t>BusinessKeyHash</t>
  </si>
  <si>
    <t>Hierarchy Name</t>
  </si>
  <si>
    <t>Bus Matrix Name</t>
  </si>
  <si>
    <t>ParentTable</t>
  </si>
  <si>
    <t>INT</t>
  </si>
  <si>
    <t>DimCurrencyID</t>
  </si>
  <si>
    <t>DECIMAL</t>
  </si>
  <si>
    <t>DimCountryID</t>
  </si>
  <si>
    <t>DimRegionID</t>
  </si>
  <si>
    <t>DimCityID</t>
  </si>
  <si>
    <t>BuildOrder</t>
  </si>
  <si>
    <t>Additional hierarchies</t>
  </si>
  <si>
    <t>FinancialTransactionType</t>
  </si>
  <si>
    <t>FinancialAccount</t>
  </si>
  <si>
    <t>PagaAccount</t>
  </si>
  <si>
    <t>User</t>
  </si>
  <si>
    <t>Process</t>
  </si>
  <si>
    <t>OrganizationHierarchy</t>
  </si>
  <si>
    <t>LocationHierarchy</t>
  </si>
  <si>
    <t>FinancialTransactions</t>
  </si>
  <si>
    <t>Daily GL Snapshot</t>
  </si>
  <si>
    <t>Monthly GL Snapshot</t>
  </si>
  <si>
    <t>DebitAmount</t>
  </si>
  <si>
    <t>CreditAmount</t>
  </si>
  <si>
    <t>MovementDirection ( - | + )</t>
  </si>
  <si>
    <t>AggregatedDebitAmount</t>
  </si>
  <si>
    <t>AggregatedCreditAmount</t>
  </si>
  <si>
    <t>DebitTransactionCount</t>
  </si>
  <si>
    <t>CreditTransactionCount</t>
  </si>
  <si>
    <t>OpeningBalance</t>
  </si>
  <si>
    <t>ClosingBalance</t>
  </si>
  <si>
    <t>MobileOperator</t>
  </si>
  <si>
    <t>Organization Hierarchy</t>
  </si>
  <si>
    <t>Grain</t>
  </si>
  <si>
    <t xml:space="preserve">Airtime Stock Movement </t>
  </si>
  <si>
    <t>daily</t>
  </si>
  <si>
    <t>Airtime Stock On Hand Snapshot</t>
  </si>
  <si>
    <t>Airtime Transactions</t>
  </si>
  <si>
    <t>atomic</t>
  </si>
  <si>
    <t>MovementAmount</t>
  </si>
  <si>
    <t>AccountBalance</t>
  </si>
  <si>
    <t>AgentCommissionType</t>
  </si>
  <si>
    <t>Initiating User</t>
  </si>
  <si>
    <t>Receiving User</t>
  </si>
  <si>
    <t>OnBehalffUser</t>
  </si>
  <si>
    <t>Channel</t>
  </si>
  <si>
    <t>ProcessTransaction</t>
  </si>
  <si>
    <t>UserMonthlySnapshot</t>
  </si>
  <si>
    <t>ProcessFee</t>
  </si>
  <si>
    <t>ProcessAmount</t>
  </si>
  <si>
    <t>AgentCommissionAmount</t>
  </si>
  <si>
    <t>Bank</t>
  </si>
  <si>
    <t>NIBS</t>
  </si>
  <si>
    <t>FraudulentTransactions</t>
  </si>
  <si>
    <t>FraudulentAccounts</t>
  </si>
  <si>
    <t>RiskSnapshot</t>
  </si>
  <si>
    <t>Representative</t>
  </si>
  <si>
    <t>PotentialCallout</t>
  </si>
  <si>
    <t>Callout</t>
  </si>
  <si>
    <t>DimFinancialAccount</t>
  </si>
  <si>
    <t>DimFinancialAccountID</t>
  </si>
  <si>
    <t>Surrogate primary key</t>
  </si>
  <si>
    <t>key</t>
  </si>
  <si>
    <t>PK ID</t>
  </si>
  <si>
    <t>Derived</t>
  </si>
  <si>
    <t>Business key from source system (aka natural key)</t>
  </si>
  <si>
    <t>DimCOALevel4ID</t>
  </si>
  <si>
    <t>DimCOALevel4</t>
  </si>
  <si>
    <t>DimBankAccountID</t>
  </si>
  <si>
    <t>DimBankAccount</t>
  </si>
  <si>
    <t>DimFinancialAccountTypeID</t>
  </si>
  <si>
    <t>DimFinancialAccountType</t>
  </si>
  <si>
    <t>DimAccountHolderID</t>
  </si>
  <si>
    <t>DimAccountHolder</t>
  </si>
  <si>
    <t>DimHoldingFinancialAccountId</t>
  </si>
  <si>
    <t>DimHoldingFinancialAccount</t>
  </si>
  <si>
    <t>AccountNumber</t>
  </si>
  <si>
    <t>VARCHAR</t>
  </si>
  <si>
    <t>RestrictedBalance</t>
  </si>
  <si>
    <t>TotalBalance</t>
  </si>
  <si>
    <t>DimProcess</t>
  </si>
  <si>
    <t>DimProcessID</t>
  </si>
  <si>
    <t>DimProcessTypeID</t>
  </si>
  <si>
    <t>DimProcessType</t>
  </si>
  <si>
    <t>DimProcessStatusID</t>
  </si>
  <si>
    <t>DimProcessStatus</t>
  </si>
  <si>
    <t>DimChannelID</t>
  </si>
  <si>
    <t>DimChannel</t>
  </si>
  <si>
    <t>DimUserID</t>
  </si>
  <si>
    <t>DimUser</t>
  </si>
  <si>
    <t>DimUserID_OnBehalf</t>
  </si>
  <si>
    <t>DimUserID_Recipient</t>
  </si>
  <si>
    <t>DimAgentCommissionTypeID</t>
  </si>
  <si>
    <t>DimAgentCommissionType</t>
  </si>
  <si>
    <t>DimBankID</t>
  </si>
  <si>
    <t>DimBank</t>
  </si>
  <si>
    <t>DimAgentID</t>
  </si>
  <si>
    <t>DimAgent</t>
  </si>
  <si>
    <t>DimProcessID_Original</t>
  </si>
  <si>
    <t>DimProcessID_Origin</t>
  </si>
  <si>
    <t>DimUserID_BillerAccount</t>
  </si>
  <si>
    <t>DimUserID_BillerAccou</t>
  </si>
  <si>
    <t>DimOrganizationID</t>
  </si>
  <si>
    <t>DimOrganization</t>
  </si>
  <si>
    <t>DependentProcessID</t>
  </si>
  <si>
    <t>Amount</t>
  </si>
  <si>
    <t>Fee</t>
  </si>
  <si>
    <t>OriginalPayerAccountID</t>
  </si>
  <si>
    <t>RequestedProcessChannel</t>
  </si>
  <si>
    <t>CustomerPhoneNumber</t>
  </si>
  <si>
    <t>SenderPhoneNumber</t>
  </si>
  <si>
    <t>LinkedPhoneNumber</t>
  </si>
  <si>
    <t>ReferenceNumber</t>
  </si>
  <si>
    <t>ATMReferenceNumber</t>
  </si>
  <si>
    <t>DepositNumber</t>
  </si>
  <si>
    <t>MerchantCustomerAccountNumber</t>
  </si>
  <si>
    <t>MerchantConfirmationCode</t>
  </si>
  <si>
    <t>CardProcessorName</t>
  </si>
  <si>
    <t>PaymentSource</t>
  </si>
  <si>
    <t>CustomerBillerAccount</t>
  </si>
  <si>
    <t>WithdrawalCode</t>
  </si>
  <si>
    <t>TransferTime</t>
  </si>
  <si>
    <t>ApprovedByUserID</t>
  </si>
  <si>
    <t>VerifiedByUserID</t>
  </si>
  <si>
    <t>CancellationApprovedByUserID</t>
  </si>
  <si>
    <t>DimCancellationApprovalStatusID</t>
  </si>
  <si>
    <t>StartedDateID</t>
  </si>
  <si>
    <t>StartedTimeID</t>
  </si>
  <si>
    <t>CompletedDateID</t>
  </si>
  <si>
    <t>CompletedTimeID</t>
  </si>
  <si>
    <t>DimCOALevel1</t>
  </si>
  <si>
    <t>DimCOALevel1ID</t>
  </si>
  <si>
    <t>COALevel1</t>
  </si>
  <si>
    <t>GLCodeRange</t>
  </si>
  <si>
    <t>DimCOALevel2</t>
  </si>
  <si>
    <t>DimCOALevel2ID</t>
  </si>
  <si>
    <t>COALevel2</t>
  </si>
  <si>
    <t>DimCOALevel3</t>
  </si>
  <si>
    <t>DimCOALevel3ID</t>
  </si>
  <si>
    <t>COALevel3</t>
  </si>
  <si>
    <t>GLCode</t>
  </si>
  <si>
    <t>COALevel4</t>
  </si>
  <si>
    <t>IsNormalDebit</t>
  </si>
  <si>
    <t>BIT</t>
  </si>
  <si>
    <t>DimGLCodeType</t>
  </si>
  <si>
    <t>DimGLCodeTypeID</t>
  </si>
  <si>
    <t>GLCodeType</t>
  </si>
  <si>
    <t>Symbol</t>
  </si>
  <si>
    <t>ProcessType</t>
  </si>
  <si>
    <t>DimStatus</t>
  </si>
  <si>
    <t>DimStatusID</t>
  </si>
  <si>
    <t>StatusType</t>
  </si>
  <si>
    <t>Status</t>
  </si>
  <si>
    <t>FinancialAccountType</t>
  </si>
  <si>
    <t>DimHoldingFinancialAccountID</t>
  </si>
  <si>
    <t>DimFinancialTransactionType</t>
  </si>
  <si>
    <t>DimFinancialTransactionTypeID</t>
  </si>
  <si>
    <t>DimFinancialTransactionTypeGroup</t>
  </si>
  <si>
    <t>DimFinancialTransactionTypeGroupID</t>
  </si>
  <si>
    <t>FinancialTransactionTypeGroup</t>
  </si>
  <si>
    <t>DimFinancialTransactionSubType</t>
  </si>
  <si>
    <t>DimFinancialTransactionSubTypeID</t>
  </si>
  <si>
    <t>FinancialTransactionSubType</t>
  </si>
  <si>
    <t>DimMobileOperator</t>
  </si>
  <si>
    <t>DimMobileOperatorID</t>
  </si>
  <si>
    <t>IsActive</t>
  </si>
  <si>
    <t>bit</t>
  </si>
  <si>
    <t>DimChannelIDID</t>
  </si>
  <si>
    <t>DimBankAccountLinkTypeID</t>
  </si>
  <si>
    <t>DimBankAccountLinkType</t>
  </si>
  <si>
    <t>SupportsDebit</t>
  </si>
  <si>
    <t>SupportsCredit</t>
  </si>
  <si>
    <t>BankAccountLinkType</t>
  </si>
  <si>
    <t>BankAccount</t>
  </si>
  <si>
    <t>AccountHolderName</t>
  </si>
  <si>
    <t>BranchName</t>
  </si>
  <si>
    <t>kycID</t>
  </si>
  <si>
    <t>MobilePhoneNumber</t>
  </si>
  <si>
    <t>DimBankAccountLinkStatusTypeID</t>
  </si>
  <si>
    <t>DimBankAccountLinkStatusType</t>
  </si>
  <si>
    <t>BankAccountLinkStatusComment</t>
  </si>
  <si>
    <t>varbinary</t>
  </si>
  <si>
    <t>AccountAlias</t>
  </si>
  <si>
    <t>TransactionLimit</t>
  </si>
  <si>
    <t>DurationLimit</t>
  </si>
  <si>
    <t>DurationLimitSeconds</t>
  </si>
  <si>
    <t>IsEnabled</t>
  </si>
  <si>
    <t>AccountLinkIdentifier</t>
  </si>
  <si>
    <t>DimPagaAccountID</t>
  </si>
  <si>
    <t>DimPagaAccount</t>
  </si>
  <si>
    <t>DimPagaAccountUserTypeID</t>
  </si>
  <si>
    <t>DimOrganizationUnitLevel5ID</t>
  </si>
  <si>
    <t>DimOrganizationUnitLevel5</t>
  </si>
  <si>
    <t>Username</t>
  </si>
  <si>
    <t>MiddleName</t>
  </si>
  <si>
    <t>Sex</t>
  </si>
  <si>
    <t>CHAR</t>
  </si>
  <si>
    <t>DateOfBirthID</t>
  </si>
  <si>
    <t>PhoneNumber</t>
  </si>
  <si>
    <t>Email</t>
  </si>
  <si>
    <t>Country</t>
  </si>
  <si>
    <t>DimGeoZone</t>
  </si>
  <si>
    <t>DimGeoZoneID</t>
  </si>
  <si>
    <t>GeoZone</t>
  </si>
  <si>
    <t>Region</t>
  </si>
  <si>
    <t>DimLocalGovernmentArea</t>
  </si>
  <si>
    <t>DimLocalGovernmentAreaID</t>
  </si>
  <si>
    <t>LocalGovernmentArea</t>
  </si>
  <si>
    <t>LGACode</t>
  </si>
  <si>
    <t>City</t>
  </si>
  <si>
    <t>DimAccountNature</t>
  </si>
  <si>
    <t>DimAccountNatureID</t>
  </si>
  <si>
    <t>AccountNature</t>
  </si>
  <si>
    <t>DimPagaAccountUserType</t>
  </si>
  <si>
    <t>PagaAccountUserType</t>
  </si>
  <si>
    <t>DimUserID_AccountOwner</t>
  </si>
  <si>
    <t>RegistrationDateID</t>
  </si>
  <si>
    <t>RegistrationDate</t>
  </si>
  <si>
    <t>DimBankingStatusID</t>
  </si>
  <si>
    <t>DimBankingStatus</t>
  </si>
  <si>
    <t>DimPagaAccountStatusID</t>
  </si>
  <si>
    <t>DimPagaAccountStatus</t>
  </si>
  <si>
    <t>PagaAccountNumber</t>
  </si>
  <si>
    <t>ExternalAccountNumber</t>
  </si>
  <si>
    <t>hasOnlineAccount</t>
  </si>
  <si>
    <t>DimMerchantCategory</t>
  </si>
  <si>
    <t>DimMerchantCategoryID</t>
  </si>
  <si>
    <t>MerchantCategory</t>
  </si>
  <si>
    <t>DimOrganizationUnitType</t>
  </si>
  <si>
    <t>DimOrganizationUnitTypeID</t>
  </si>
  <si>
    <t>OrganizationUnitType</t>
  </si>
  <si>
    <t>Organization</t>
  </si>
  <si>
    <t>TaxIDNumber</t>
  </si>
  <si>
    <t>VATCertificationNumber</t>
  </si>
  <si>
    <t>DimBusinessTypeID</t>
  </si>
  <si>
    <t>DimBusinessType</t>
  </si>
  <si>
    <t>RcName</t>
  </si>
  <si>
    <t>WebsiteURL</t>
  </si>
  <si>
    <t>DimOrganizationVerificationStatusID</t>
  </si>
  <si>
    <t>DimOrganizationVerificationStatus</t>
  </si>
  <si>
    <t>DimOrganizationSubscriptionStatusID</t>
  </si>
  <si>
    <t>DimOrganizationSubscriptionStatus</t>
  </si>
  <si>
    <t>DisplayName</t>
  </si>
  <si>
    <t>BusinessType</t>
  </si>
  <si>
    <t>DimOrganizationUnitLevel1</t>
  </si>
  <si>
    <t>DimOrganizationUnitLevel1ID</t>
  </si>
  <si>
    <t>OrganizationUnit</t>
  </si>
  <si>
    <t>IdentificationNumber</t>
  </si>
  <si>
    <t>DimOrganizationUnitLevel2</t>
  </si>
  <si>
    <t>DimOrganizationUnitLevel2ID</t>
  </si>
  <si>
    <t>DimOrganizationUnitLevel3</t>
  </si>
  <si>
    <t>DimOrganizationUnitLevel3ID</t>
  </si>
  <si>
    <t>DimOrganizationUnitLevel4</t>
  </si>
  <si>
    <t>DimOrganizationUnitLevel4ID</t>
  </si>
  <si>
    <t>BusMatrixName</t>
  </si>
  <si>
    <t>=OFFSET(AllTables!R15C11,0,0,(COUNTA(AllTables!C1)-1),1)</t>
  </si>
  <si>
    <t>busmatrixnames</t>
  </si>
  <si>
    <t>=AllTables!R79C9</t>
  </si>
  <si>
    <t>=Database!R4C3</t>
  </si>
  <si>
    <t>DimHeaders</t>
  </si>
  <si>
    <t>=Dimensions!R2C1:R2C17</t>
  </si>
  <si>
    <t>DimTables</t>
  </si>
  <si>
    <t>=OFFSET(Dimensions!R4C1,0,0,(COUNTA(Dimensions!C1)-1),1)</t>
  </si>
  <si>
    <t>DtbName</t>
  </si>
  <si>
    <t>=Database!R3C3</t>
  </si>
  <si>
    <t>FactColumns</t>
  </si>
  <si>
    <t>=OFFSET(Facts!R2C2,0,0,(COUNTA(Facts!C1)),1)</t>
  </si>
  <si>
    <t>FactHeaders</t>
  </si>
  <si>
    <t>=Facts!R2C1:R2C19</t>
  </si>
  <si>
    <t>FactTables</t>
  </si>
  <si>
    <t>=OFFSET(Facts!R2C1,0,0,(COUNTA(Facts!C1)),1)</t>
  </si>
  <si>
    <t>GenFK</t>
  </si>
  <si>
    <t>=Database!R6C3</t>
  </si>
  <si>
    <t>StandardCols</t>
  </si>
  <si>
    <t>=StandardColumnTemplate!R3C2:R11C2</t>
  </si>
  <si>
    <t>TableName</t>
  </si>
  <si>
    <t>=OFFSET(AllTables!R2C2,0,0,(COUNTA(AllTables!C1)),1)</t>
  </si>
  <si>
    <t>tableNames</t>
  </si>
  <si>
    <t>=AllTables!R2C9:R74C9</t>
  </si>
  <si>
    <t>TableType</t>
  </si>
  <si>
    <t>=OFFSET(AllTables!R2C1,0,0,(COUNTA(AllTables!C1)),1)</t>
  </si>
  <si>
    <t>=Database!R5C3</t>
  </si>
  <si>
    <t>FactFinancialTransactions</t>
  </si>
  <si>
    <t>Finance</t>
  </si>
  <si>
    <t>FactDailyGLSnapshot</t>
  </si>
  <si>
    <t>DailyGLSnapshot</t>
  </si>
  <si>
    <t>FactMonthlyGLSnapshot</t>
  </si>
  <si>
    <t>MonthlyGLSnapshot</t>
  </si>
  <si>
    <t>FactAirtimeTransactions</t>
  </si>
  <si>
    <t>Airtime</t>
  </si>
  <si>
    <t>AirtimeTransactions</t>
  </si>
  <si>
    <t>FactProcessTransaction</t>
  </si>
  <si>
    <t>FactUserMonthlySnapshot</t>
  </si>
  <si>
    <t>Dimension Names must start in row 3, col 2</t>
  </si>
  <si>
    <t>DimOrganizationHierarchy</t>
  </si>
  <si>
    <t>DimLocationHierarchy</t>
  </si>
  <si>
    <t>FactAirtimeStockMovement</t>
  </si>
  <si>
    <t>AirtimeStockMovement</t>
  </si>
  <si>
    <t>FactAirtimeStockOnHandSnapshot</t>
  </si>
  <si>
    <t>AirtimeStockOnHandSnapshot</t>
  </si>
  <si>
    <t>DimInitiatingUser</t>
  </si>
  <si>
    <t>InitiatingUser</t>
  </si>
  <si>
    <t>DimReceivingUser</t>
  </si>
  <si>
    <t>ReceivingUser</t>
  </si>
  <si>
    <t>DimOnBehalffUser</t>
  </si>
  <si>
    <t>Dimension Names must start in row 3, col 2
Measures must start on row 17</t>
  </si>
  <si>
    <t>ForMeByMe_SentTxCount</t>
  </si>
  <si>
    <t>ForMeByOther_SentTxCount</t>
  </si>
  <si>
    <t>ByMeForOther_SentTxCount</t>
  </si>
  <si>
    <t>ReceivedTxCount</t>
  </si>
  <si>
    <t>DimDateID</t>
  </si>
  <si>
    <t>DimDate.DimDateID</t>
  </si>
  <si>
    <t>DimTimeID</t>
  </si>
  <si>
    <t>DimTime.DimTimeID</t>
  </si>
  <si>
    <t>DimFinancialTransactionType.DimFinancialTransactionTypeID</t>
  </si>
  <si>
    <t>DimFinancialAccount.DimFinancialAccountID</t>
  </si>
  <si>
    <t>DimPagaAccount.DimPagaAccountID</t>
  </si>
  <si>
    <t>DimUser.DimUserID</t>
  </si>
  <si>
    <t>DimProcess.DimProcessID</t>
  </si>
  <si>
    <t>DimOrganizationHierarchyID</t>
  </si>
  <si>
    <t>DimOrganizationHierarchy.DimOrganizationHierarchyID</t>
  </si>
  <si>
    <t>DimLocationHierarchyID</t>
  </si>
  <si>
    <t>DimLocationHierarchy.DimLocationHierarchyID</t>
  </si>
  <si>
    <t>MovementDirection(-|+)</t>
  </si>
  <si>
    <t>Paga_EDW</t>
  </si>
  <si>
    <t>DimMobileOperator.DimMobileOperatorID</t>
  </si>
  <si>
    <t>DimAgentCommissionType.DimAgentCommissionTypeID</t>
  </si>
  <si>
    <t>DimInitiatingUserID</t>
  </si>
  <si>
    <t>DimInitiatingUser.DimInitiatingUserID</t>
  </si>
  <si>
    <t>DimReceivingUserID</t>
  </si>
  <si>
    <t>DimReceivingUser.DimReceivingUserID</t>
  </si>
  <si>
    <t>DimOnBehalffUserID</t>
  </si>
  <si>
    <t>DimOnBehalffUser.DimOnBehalffUserID</t>
  </si>
  <si>
    <t>DimChannel.DimChannelID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</si>
</sst>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-* #,##0.00_-;\-* #,##0.00_-;_-* &quot;-&quot;??_-;_-@_-"/>
    <numFmt numFmtId="165" formatCode="_-* #,##0_-;\-* #,##0_-;_-* &quot;-&quot;??_-;_-@_-"/>
    <numFmt numFmtId="166" formatCode="yyyy\-mm\-dd"/>
    <numFmt numFmtId="167" formatCode="[$-F800]dddd\,\ mmmm\ dd\,\ yyyy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indexed="81"/>
      <name val="Tahoma"/>
      <family val="2"/>
    </font>
    <font>
      <b/>
      <sz val="8"/>
      <name val="Arial"/>
      <family val="2"/>
    </font>
    <font>
      <b/>
      <sz val="14"/>
      <name val="Arial"/>
      <family val="2"/>
    </font>
    <font>
      <sz val="11"/>
      <color rgb="FF000000"/>
      <name val="Calibri"/>
      <family val="2"/>
    </font>
    <font>
      <sz val="9"/>
      <color theme="1"/>
      <name val="Calibri"/>
      <family val="2"/>
      <scheme val="minor"/>
    </font>
    <font>
      <b/>
      <sz val="9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7" fillId="0" borderId="0"/>
  </cellStyleXfs>
  <cellXfs count="160">
    <xf numFmtId="0" fontId="0" fillId="0" borderId="0" xfId="0"/>
    <xf numFmtId="0" fontId="3" fillId="0" borderId="0" xfId="0" applyFont="1"/>
    <xf numFmtId="0" fontId="4" fillId="2" borderId="0" xfId="0" applyFont="1" applyFill="1" applyAlignment="1">
      <alignment horizontal="center" vertical="center" wrapText="1"/>
    </xf>
    <xf numFmtId="0" fontId="3" fillId="2" borderId="1" xfId="0" applyFont="1" applyFill="1" applyBorder="1" applyAlignment="1">
      <alignment horizontal="left" textRotation="45" wrapText="1"/>
    </xf>
    <xf numFmtId="0" fontId="3" fillId="0" borderId="0" xfId="0" applyFont="1" applyAlignment="1">
      <alignment textRotation="60" wrapText="1"/>
    </xf>
    <xf numFmtId="0" fontId="2" fillId="2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65" fontId="0" fillId="0" borderId="0" xfId="1" applyNumberFormat="1" applyFont="1"/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textRotation="45"/>
    </xf>
    <xf numFmtId="0" fontId="3" fillId="0" borderId="1" xfId="0" applyFont="1" applyBorder="1" applyAlignment="1">
      <alignment textRotation="45"/>
    </xf>
    <xf numFmtId="0" fontId="3" fillId="0" borderId="1" xfId="0" applyFont="1" applyFill="1" applyBorder="1" applyAlignment="1">
      <alignment textRotation="45"/>
    </xf>
    <xf numFmtId="0" fontId="3" fillId="0" borderId="0" xfId="0" applyFont="1" applyFill="1" applyBorder="1" applyAlignment="1">
      <alignment textRotation="45"/>
    </xf>
    <xf numFmtId="0" fontId="3" fillId="0" borderId="0" xfId="0" applyFont="1" applyAlignment="1">
      <alignment textRotation="45"/>
    </xf>
    <xf numFmtId="0" fontId="0" fillId="0" borderId="2" xfId="0" applyFont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3" fillId="0" borderId="0" xfId="0" applyFont="1" applyAlignment="1">
      <alignment wrapText="1"/>
    </xf>
    <xf numFmtId="0" fontId="5" fillId="2" borderId="1" xfId="0" applyFont="1" applyFill="1" applyBorder="1" applyAlignment="1">
      <alignment vertical="center"/>
    </xf>
    <xf numFmtId="0" fontId="0" fillId="0" borderId="1" xfId="0" applyBorder="1"/>
    <xf numFmtId="0" fontId="3" fillId="2" borderId="1" xfId="0" applyFont="1" applyFill="1" applyBorder="1" applyAlignment="1">
      <alignment textRotation="45"/>
    </xf>
    <xf numFmtId="0" fontId="0" fillId="0" borderId="0" xfId="0" applyFont="1" applyAlignment="1">
      <alignment wrapText="1"/>
    </xf>
    <xf numFmtId="0" fontId="0" fillId="0" borderId="1" xfId="0" applyFont="1" applyFill="1" applyBorder="1" applyAlignment="1">
      <alignment vertical="center"/>
    </xf>
    <xf numFmtId="0" fontId="0" fillId="0" borderId="1" xfId="0" applyFont="1" applyBorder="1" applyAlignment="1">
      <alignment wrapText="1"/>
    </xf>
    <xf numFmtId="0" fontId="0" fillId="0" borderId="1" xfId="0" applyFont="1" applyBorder="1" applyAlignment="1">
      <alignment vertical="center"/>
    </xf>
    <xf numFmtId="0" fontId="0" fillId="0" borderId="0" xfId="0" applyFont="1"/>
    <xf numFmtId="0" fontId="0" fillId="2" borderId="1" xfId="0" applyFont="1" applyFill="1" applyBorder="1" applyAlignment="1">
      <alignment vertical="center"/>
    </xf>
    <xf numFmtId="0" fontId="0" fillId="0" borderId="1" xfId="0" applyFont="1" applyFill="1" applyBorder="1" applyAlignment="1">
      <alignment wrapText="1"/>
    </xf>
    <xf numFmtId="0" fontId="2" fillId="0" borderId="1" xfId="0" applyFont="1" applyBorder="1" applyAlignment="1">
      <alignment horizontal="center"/>
    </xf>
    <xf numFmtId="0" fontId="6" fillId="2" borderId="0" xfId="0" applyFont="1" applyFill="1" applyAlignment="1">
      <alignment horizontal="center" vertical="center" wrapText="1"/>
    </xf>
    <xf numFmtId="0" fontId="5" fillId="2" borderId="1" xfId="0" applyFont="1" applyFill="1" applyBorder="1" applyAlignment="1">
      <alignment horizontal="left" textRotation="45" wrapText="1"/>
    </xf>
    <xf numFmtId="0" fontId="5" fillId="0" borderId="0" xfId="0" applyFont="1" applyAlignment="1">
      <alignment textRotation="60" wrapText="1"/>
    </xf>
    <xf numFmtId="0" fontId="6" fillId="0" borderId="0" xfId="0" applyFont="1" applyAlignment="1">
      <alignment horizontal="center" vertical="center"/>
    </xf>
    <xf numFmtId="0" fontId="5" fillId="0" borderId="1" xfId="0" applyFont="1" applyFill="1" applyBorder="1" applyAlignment="1">
      <alignment textRotation="45"/>
    </xf>
    <xf numFmtId="0" fontId="5" fillId="2" borderId="1" xfId="0" applyFont="1" applyFill="1" applyBorder="1" applyAlignment="1">
      <alignment textRotation="45"/>
    </xf>
    <xf numFmtId="0" fontId="5" fillId="0" borderId="0" xfId="0" applyFont="1" applyFill="1" applyBorder="1" applyAlignment="1">
      <alignment textRotation="45"/>
    </xf>
    <xf numFmtId="0" fontId="5" fillId="0" borderId="0" xfId="0" applyFont="1" applyAlignment="1">
      <alignment textRotation="45"/>
    </xf>
    <xf numFmtId="0" fontId="5" fillId="0" borderId="0" xfId="0" applyFont="1"/>
    <xf numFmtId="0" fontId="5" fillId="3" borderId="1" xfId="0" applyFont="1" applyFill="1" applyBorder="1" applyAlignment="1">
      <alignment textRotation="45"/>
    </xf>
    <xf numFmtId="0" fontId="7" fillId="0" borderId="0" xfId="2" applyBorder="1" applyAlignment="1">
      <alignment vertical="top"/>
    </xf>
    <xf numFmtId="0" fontId="8" fillId="0" borderId="0" xfId="2" applyFont="1" applyBorder="1" applyAlignment="1">
      <alignment vertical="top"/>
    </xf>
    <xf numFmtId="0" fontId="8" fillId="4" borderId="1" xfId="2" applyFont="1" applyFill="1" applyBorder="1" applyAlignment="1">
      <alignment horizontal="center" vertical="top" wrapText="1"/>
    </xf>
    <xf numFmtId="0" fontId="8" fillId="4" borderId="1" xfId="2" applyFont="1" applyFill="1" applyBorder="1" applyAlignment="1">
      <alignment horizontal="center" vertical="top"/>
    </xf>
    <xf numFmtId="0" fontId="7" fillId="4" borderId="1" xfId="2" applyFill="1" applyBorder="1" applyAlignment="1">
      <alignment vertical="top"/>
    </xf>
    <xf numFmtId="0" fontId="8" fillId="0" borderId="0" xfId="2" applyFont="1"/>
    <xf numFmtId="0" fontId="5" fillId="2" borderId="3" xfId="0" applyFont="1" applyFill="1" applyBorder="1" applyAlignment="1">
      <alignment horizontal="left" textRotation="45" wrapText="1"/>
    </xf>
    <xf numFmtId="0" fontId="8" fillId="0" borderId="1" xfId="2" applyFont="1" applyBorder="1"/>
    <xf numFmtId="0" fontId="8" fillId="0" borderId="0" xfId="2" applyFont="1" applyBorder="1" applyAlignment="1">
      <alignment vertical="center"/>
    </xf>
    <xf numFmtId="0" fontId="8" fillId="0" borderId="0" xfId="2" applyFont="1" applyBorder="1"/>
    <xf numFmtId="0" fontId="5" fillId="0" borderId="0" xfId="0" applyFont="1" applyAlignment="1">
      <alignment textRotation="45" wrapText="1"/>
    </xf>
    <xf numFmtId="0" fontId="3" fillId="0" borderId="1" xfId="0" applyFont="1" applyBorder="1" applyAlignment="1">
      <alignment textRotation="60" wrapText="1"/>
    </xf>
    <xf numFmtId="0" fontId="7" fillId="0" borderId="0" xfId="2"/>
    <xf numFmtId="0" fontId="9" fillId="6" borderId="1" xfId="2" applyFont="1" applyFill="1" applyBorder="1" applyAlignment="1">
      <alignment vertical="center"/>
    </xf>
    <xf numFmtId="0" fontId="9" fillId="6" borderId="1" xfId="2" applyFont="1" applyFill="1" applyBorder="1" applyAlignment="1">
      <alignment horizontal="left" vertical="center"/>
    </xf>
    <xf numFmtId="0" fontId="7" fillId="4" borderId="1" xfId="2" applyFont="1" applyFill="1" applyBorder="1" applyAlignment="1">
      <alignment horizontal="center" vertical="top" wrapText="1"/>
    </xf>
    <xf numFmtId="0" fontId="8" fillId="4" borderId="1" xfId="2" applyFont="1" applyFill="1" applyBorder="1" applyAlignment="1">
      <alignment vertical="center"/>
    </xf>
    <xf numFmtId="0" fontId="8" fillId="4" borderId="1" xfId="2" applyFont="1" applyFill="1" applyBorder="1" applyAlignment="1">
      <alignment horizontal="center" vertical="center" wrapText="1"/>
    </xf>
    <xf numFmtId="0" fontId="8" fillId="4" borderId="1" xfId="2" applyFont="1" applyFill="1" applyBorder="1" applyAlignment="1">
      <alignment horizontal="center" vertical="center"/>
    </xf>
    <xf numFmtId="0" fontId="8" fillId="0" borderId="1" xfId="2" applyFont="1" applyBorder="1" applyAlignment="1">
      <alignment vertical="top"/>
    </xf>
    <xf numFmtId="0" fontId="0" fillId="0" borderId="0" xfId="0" applyBorder="1"/>
    <xf numFmtId="0" fontId="8" fillId="0" borderId="3" xfId="2" applyFont="1" applyBorder="1"/>
    <xf numFmtId="0" fontId="12" fillId="4" borderId="1" xfId="2" applyFont="1" applyFill="1" applyBorder="1"/>
    <xf numFmtId="167" fontId="12" fillId="4" borderId="1" xfId="2" applyNumberFormat="1" applyFont="1" applyFill="1" applyBorder="1" applyAlignment="1">
      <alignment horizontal="left"/>
    </xf>
    <xf numFmtId="0" fontId="12" fillId="4" borderId="1" xfId="2" applyFont="1" applyFill="1" applyBorder="1" applyAlignment="1">
      <alignment vertical="top"/>
    </xf>
    <xf numFmtId="167" fontId="12" fillId="4" borderId="1" xfId="2" applyNumberFormat="1" applyFont="1" applyFill="1" applyBorder="1" applyAlignment="1">
      <alignment vertical="top" wrapText="1"/>
    </xf>
    <xf numFmtId="2" fontId="12" fillId="4" borderId="1" xfId="2" applyNumberFormat="1" applyFont="1" applyFill="1" applyBorder="1" applyAlignment="1">
      <alignment horizontal="left"/>
    </xf>
    <xf numFmtId="166" fontId="12" fillId="4" borderId="1" xfId="2" applyNumberFormat="1" applyFont="1" applyFill="1" applyBorder="1" applyAlignment="1">
      <alignment horizontal="left"/>
    </xf>
    <xf numFmtId="0" fontId="8" fillId="0" borderId="0" xfId="2" applyFont="1" applyBorder="1" applyAlignment="1">
      <alignment horizontal="center"/>
    </xf>
    <xf numFmtId="0" fontId="0" fillId="2" borderId="0" xfId="0" applyFill="1" applyBorder="1" applyAlignment="1">
      <alignment horizontal="center" vertical="center"/>
    </xf>
    <xf numFmtId="0" fontId="8" fillId="4" borderId="4" xfId="2" applyFont="1" applyFill="1" applyBorder="1" applyAlignment="1">
      <alignment horizontal="center" vertical="center"/>
    </xf>
    <xf numFmtId="0" fontId="8" fillId="0" borderId="4" xfId="2" applyFont="1" applyBorder="1" applyAlignment="1">
      <alignment vertical="top"/>
    </xf>
    <xf numFmtId="0" fontId="8" fillId="4" borderId="10" xfId="2" applyFont="1" applyFill="1" applyBorder="1" applyAlignment="1">
      <alignment vertical="top"/>
    </xf>
    <xf numFmtId="0" fontId="8" fillId="4" borderId="11" xfId="2" applyFont="1" applyFill="1" applyBorder="1" applyAlignment="1">
      <alignment horizontal="center" vertical="top"/>
    </xf>
    <xf numFmtId="0" fontId="8" fillId="4" borderId="11" xfId="2" applyFont="1" applyFill="1" applyBorder="1" applyAlignment="1">
      <alignment horizontal="center" vertical="top" wrapText="1"/>
    </xf>
    <xf numFmtId="0" fontId="8" fillId="4" borderId="12" xfId="2" applyFont="1" applyFill="1" applyBorder="1" applyAlignment="1">
      <alignment horizontal="center" vertical="top"/>
    </xf>
    <xf numFmtId="0" fontId="8" fillId="4" borderId="4" xfId="2" applyFont="1" applyFill="1" applyBorder="1" applyAlignment="1">
      <alignment horizontal="center" vertical="center" wrapText="1"/>
    </xf>
    <xf numFmtId="0" fontId="8" fillId="4" borderId="13" xfId="2" applyFont="1" applyFill="1" applyBorder="1" applyAlignment="1">
      <alignment horizontal="center" vertical="center"/>
    </xf>
    <xf numFmtId="0" fontId="8" fillId="4" borderId="2" xfId="2" applyFont="1" applyFill="1" applyBorder="1" applyAlignment="1">
      <alignment horizontal="center" vertical="center"/>
    </xf>
    <xf numFmtId="0" fontId="7" fillId="4" borderId="14" xfId="2" applyFill="1" applyBorder="1" applyAlignment="1">
      <alignment vertical="top"/>
    </xf>
    <xf numFmtId="0" fontId="8" fillId="4" borderId="20" xfId="2" applyFont="1" applyFill="1" applyBorder="1" applyAlignment="1">
      <alignment vertical="top"/>
    </xf>
    <xf numFmtId="0" fontId="8" fillId="4" borderId="21" xfId="2" applyFont="1" applyFill="1" applyBorder="1" applyAlignment="1">
      <alignment horizontal="center" vertical="top"/>
    </xf>
    <xf numFmtId="0" fontId="7" fillId="4" borderId="22" xfId="2" applyFont="1" applyFill="1" applyBorder="1" applyAlignment="1">
      <alignment horizontal="center" vertical="top" wrapText="1"/>
    </xf>
    <xf numFmtId="0" fontId="8" fillId="4" borderId="15" xfId="2" applyFont="1" applyFill="1" applyBorder="1" applyAlignment="1">
      <alignment horizontal="center" vertical="center" wrapText="1"/>
    </xf>
    <xf numFmtId="0" fontId="11" fillId="6" borderId="0" xfId="2" applyFont="1" applyFill="1" applyBorder="1" applyAlignment="1">
      <alignment horizontal="center" vertical="center"/>
    </xf>
    <xf numFmtId="0" fontId="11" fillId="5" borderId="23" xfId="2" applyFont="1" applyFill="1" applyBorder="1" applyAlignment="1">
      <alignment horizontal="center" vertical="center"/>
    </xf>
    <xf numFmtId="0" fontId="11" fillId="6" borderId="23" xfId="2" applyFont="1" applyFill="1" applyBorder="1" applyAlignment="1">
      <alignment horizontal="center" vertical="center"/>
    </xf>
    <xf numFmtId="0" fontId="8" fillId="4" borderId="24" xfId="2" applyFont="1" applyFill="1" applyBorder="1" applyAlignment="1">
      <alignment horizontal="center" vertical="center" wrapText="1"/>
    </xf>
    <xf numFmtId="0" fontId="8" fillId="4" borderId="23" xfId="2" applyFont="1" applyFill="1" applyBorder="1" applyAlignment="1">
      <alignment horizontal="center" vertical="center" wrapText="1"/>
    </xf>
    <xf numFmtId="0" fontId="8" fillId="4" borderId="25" xfId="2" applyFont="1" applyFill="1" applyBorder="1" applyAlignment="1">
      <alignment horizontal="center" vertical="center" wrapText="1"/>
    </xf>
    <xf numFmtId="0" fontId="8" fillId="4" borderId="24" xfId="2" applyFont="1" applyFill="1" applyBorder="1" applyAlignment="1">
      <alignment horizontal="center" vertical="center"/>
    </xf>
    <xf numFmtId="0" fontId="8" fillId="4" borderId="23" xfId="2" applyFont="1" applyFill="1" applyBorder="1" applyAlignment="1">
      <alignment horizontal="center" vertical="center"/>
    </xf>
    <xf numFmtId="0" fontId="8" fillId="4" borderId="25" xfId="2" applyFont="1" applyFill="1" applyBorder="1" applyAlignment="1">
      <alignment horizontal="center" vertical="center"/>
    </xf>
    <xf numFmtId="0" fontId="8" fillId="4" borderId="26" xfId="2" applyFont="1" applyFill="1" applyBorder="1" applyAlignment="1">
      <alignment horizontal="center" vertical="center"/>
    </xf>
    <xf numFmtId="0" fontId="8" fillId="4" borderId="25" xfId="2" applyFont="1" applyFill="1" applyBorder="1" applyAlignment="1">
      <alignment vertical="center"/>
    </xf>
    <xf numFmtId="0" fontId="8" fillId="0" borderId="1" xfId="2" applyFont="1" applyFill="1" applyBorder="1" applyAlignment="1">
      <alignment horizontal="center" vertical="center" wrapText="1"/>
    </xf>
    <xf numFmtId="0" fontId="8" fillId="0" borderId="13" xfId="2" applyFont="1" applyFill="1" applyBorder="1" applyAlignment="1">
      <alignment horizontal="center" vertical="center"/>
    </xf>
    <xf numFmtId="0" fontId="8" fillId="0" borderId="1" xfId="2" applyFont="1" applyFill="1" applyBorder="1" applyAlignment="1">
      <alignment horizontal="center" vertical="center"/>
    </xf>
    <xf numFmtId="0" fontId="8" fillId="0" borderId="15" xfId="2" applyFont="1" applyFill="1" applyBorder="1" applyAlignment="1">
      <alignment horizontal="center" vertical="center" wrapText="1"/>
    </xf>
    <xf numFmtId="0" fontId="8" fillId="0" borderId="1" xfId="2" applyFont="1" applyFill="1" applyBorder="1" applyAlignment="1">
      <alignment horizontal="left" vertical="center" wrapText="1"/>
    </xf>
    <xf numFmtId="0" fontId="8" fillId="0" borderId="4" xfId="2" applyFont="1" applyFill="1" applyBorder="1" applyAlignment="1">
      <alignment horizontal="left" vertical="center"/>
    </xf>
    <xf numFmtId="0" fontId="8" fillId="0" borderId="2" xfId="2" applyFont="1" applyFill="1" applyBorder="1" applyAlignment="1">
      <alignment horizontal="left" vertical="center"/>
    </xf>
    <xf numFmtId="0" fontId="11" fillId="6" borderId="1" xfId="2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3" fillId="2" borderId="0" xfId="0" applyFont="1" applyFill="1" applyBorder="1" applyAlignment="1">
      <alignment horizontal="left" textRotation="45" wrapText="1"/>
    </xf>
    <xf numFmtId="0" fontId="3" fillId="2" borderId="27" xfId="0" applyFont="1" applyFill="1" applyBorder="1" applyAlignment="1">
      <alignment horizontal="left" textRotation="45" wrapText="1"/>
    </xf>
    <xf numFmtId="0" fontId="5" fillId="2" borderId="3" xfId="0" applyFont="1" applyFill="1" applyBorder="1" applyAlignment="1">
      <alignment textRotation="45" wrapText="1"/>
    </xf>
    <xf numFmtId="0" fontId="14" fillId="2" borderId="3" xfId="0" applyFont="1" applyFill="1" applyBorder="1" applyAlignment="1">
      <alignment textRotation="45" wrapText="1"/>
    </xf>
    <xf numFmtId="0" fontId="5" fillId="0" borderId="3" xfId="0" applyFont="1" applyBorder="1" applyAlignment="1">
      <alignment textRotation="45" wrapText="1"/>
    </xf>
    <xf numFmtId="0" fontId="5" fillId="0" borderId="1" xfId="0" applyFont="1" applyBorder="1" applyAlignment="1">
      <alignment textRotation="45" wrapText="1"/>
    </xf>
    <xf numFmtId="0" fontId="5" fillId="0" borderId="28" xfId="0" applyFont="1" applyBorder="1" applyAlignment="1">
      <alignment textRotation="45" wrapText="1"/>
    </xf>
    <xf numFmtId="0" fontId="5" fillId="2" borderId="1" xfId="0" applyFont="1" applyFill="1" applyBorder="1" applyAlignment="1">
      <alignment textRotation="45" wrapText="1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4" borderId="23" xfId="0" applyFont="1" applyFill="1" applyBorder="1" applyAlignment="1">
      <alignment textRotation="45"/>
    </xf>
    <xf numFmtId="0" fontId="5" fillId="0" borderId="23" xfId="0" applyFont="1" applyFill="1" applyBorder="1" applyAlignment="1">
      <alignment textRotation="45"/>
    </xf>
    <xf numFmtId="0" fontId="5" fillId="2" borderId="23" xfId="0" applyFont="1" applyFill="1" applyBorder="1" applyAlignment="1">
      <alignment textRotation="45"/>
    </xf>
    <xf numFmtId="0" fontId="0" fillId="0" borderId="5" xfId="0" applyFont="1" applyBorder="1" applyAlignment="1">
      <alignment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0" fillId="0" borderId="29" xfId="0" applyFont="1" applyBorder="1" applyAlignment="1">
      <alignment vertical="center"/>
    </xf>
    <xf numFmtId="0" fontId="2" fillId="2" borderId="8" xfId="0" applyFont="1" applyFill="1" applyBorder="1" applyAlignment="1">
      <alignment horizontal="center" vertical="center"/>
    </xf>
    <xf numFmtId="0" fontId="0" fillId="0" borderId="30" xfId="0" applyFont="1" applyFill="1" applyBorder="1" applyAlignment="1">
      <alignment vertical="center"/>
    </xf>
    <xf numFmtId="0" fontId="0" fillId="0" borderId="9" xfId="0" applyBorder="1"/>
    <xf numFmtId="0" fontId="2" fillId="2" borderId="9" xfId="0" applyFont="1" applyFill="1" applyBorder="1" applyAlignment="1">
      <alignment horizontal="center" vertical="center"/>
    </xf>
    <xf numFmtId="0" fontId="2" fillId="2" borderId="3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textRotation="45" wrapText="1"/>
    </xf>
    <xf numFmtId="0" fontId="5" fillId="2" borderId="0" xfId="0" applyFont="1" applyFill="1" applyBorder="1" applyAlignment="1">
      <alignment horizontal="left" textRotation="45" wrapText="1"/>
    </xf>
    <xf numFmtId="0" fontId="5" fillId="0" borderId="0" xfId="0" applyFont="1" applyBorder="1" applyAlignment="1">
      <alignment textRotation="60" wrapText="1"/>
    </xf>
    <xf numFmtId="0" fontId="0" fillId="0" borderId="10" xfId="0" applyFont="1" applyFill="1" applyBorder="1" applyAlignment="1">
      <alignment vertical="center"/>
    </xf>
    <xf numFmtId="0" fontId="0" fillId="0" borderId="11" xfId="0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0" fillId="0" borderId="4" xfId="0" applyFont="1" applyFill="1" applyBorder="1" applyAlignment="1">
      <alignment vertical="center"/>
    </xf>
    <xf numFmtId="0" fontId="0" fillId="0" borderId="1" xfId="0" applyBorder="1" applyAlignment="1">
      <alignment horizontal="center"/>
    </xf>
    <xf numFmtId="0" fontId="0" fillId="0" borderId="8" xfId="0" applyBorder="1"/>
    <xf numFmtId="0" fontId="0" fillId="0" borderId="32" xfId="0" applyFont="1" applyBorder="1" applyAlignment="1">
      <alignment wrapText="1"/>
    </xf>
    <xf numFmtId="0" fontId="0" fillId="0" borderId="4" xfId="0" applyFont="1" applyBorder="1" applyAlignment="1">
      <alignment wrapText="1"/>
    </xf>
    <xf numFmtId="0" fontId="0" fillId="0" borderId="30" xfId="0" applyFont="1" applyBorder="1" applyAlignment="1">
      <alignment wrapText="1"/>
    </xf>
    <xf numFmtId="0" fontId="0" fillId="0" borderId="9" xfId="0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31" xfId="0" applyBorder="1"/>
    <xf numFmtId="0" fontId="5" fillId="3" borderId="23" xfId="0" applyFont="1" applyFill="1" applyBorder="1" applyAlignment="1">
      <alignment textRotation="45"/>
    </xf>
    <xf numFmtId="0" fontId="0" fillId="0" borderId="1" xfId="0" applyFont="1" applyFill="1" applyBorder="1" applyAlignment="1">
      <alignment horizontal="right" vertical="center"/>
    </xf>
    <xf numFmtId="0" fontId="0" fillId="0" borderId="1" xfId="0" applyFont="1" applyBorder="1" applyAlignment="1">
      <alignment horizontal="right" wrapText="1"/>
    </xf>
    <xf numFmtId="0" fontId="8" fillId="0" borderId="0" xfId="2" applyFont="1" applyBorder="1" applyAlignment="1">
      <alignment horizontal="center" vertical="top"/>
    </xf>
    <xf numFmtId="0" fontId="8" fillId="7" borderId="0" xfId="2" applyFont="1" applyFill="1" applyBorder="1" applyAlignment="1">
      <alignment vertical="top"/>
    </xf>
    <xf numFmtId="0" fontId="8" fillId="7" borderId="0" xfId="2" applyFont="1" applyFill="1" applyBorder="1" applyAlignment="1">
      <alignment horizontal="center" vertical="top"/>
    </xf>
    <xf numFmtId="0" fontId="0" fillId="7" borderId="0" xfId="0" applyFill="1"/>
    <xf numFmtId="0" fontId="0" fillId="7" borderId="0" xfId="0" applyFill="1" applyAlignment="1">
      <alignment wrapText="1"/>
    </xf>
    <xf numFmtId="0" fontId="9" fillId="4" borderId="5" xfId="2" applyFont="1" applyFill="1" applyBorder="1" applyAlignment="1">
      <alignment horizontal="center" vertical="top"/>
    </xf>
    <xf numFmtId="0" fontId="9" fillId="4" borderId="6" xfId="2" applyFont="1" applyFill="1" applyBorder="1" applyAlignment="1">
      <alignment horizontal="center" vertical="top"/>
    </xf>
    <xf numFmtId="0" fontId="9" fillId="4" borderId="16" xfId="2" applyFont="1" applyFill="1" applyBorder="1" applyAlignment="1">
      <alignment horizontal="center" vertical="top"/>
    </xf>
    <xf numFmtId="0" fontId="9" fillId="4" borderId="17" xfId="2" applyFont="1" applyFill="1" applyBorder="1" applyAlignment="1">
      <alignment horizontal="center" vertical="top"/>
    </xf>
    <xf numFmtId="0" fontId="9" fillId="4" borderId="18" xfId="2" applyFont="1" applyFill="1" applyBorder="1" applyAlignment="1">
      <alignment horizontal="center" vertical="top"/>
    </xf>
    <xf numFmtId="0" fontId="9" fillId="4" borderId="19" xfId="2" applyFont="1" applyFill="1" applyBorder="1" applyAlignment="1">
      <alignment horizontal="center" vertical="top"/>
    </xf>
    <xf numFmtId="0" fontId="7" fillId="4" borderId="20" xfId="2" applyFill="1" applyBorder="1" applyAlignment="1">
      <alignment horizontal="center" vertical="top"/>
    </xf>
    <xf numFmtId="0" fontId="7" fillId="4" borderId="21" xfId="2" applyFill="1" applyBorder="1" applyAlignment="1">
      <alignment horizontal="center" vertical="top"/>
    </xf>
    <xf numFmtId="0" fontId="7" fillId="4" borderId="6" xfId="2" applyFill="1" applyBorder="1" applyAlignment="1">
      <alignment horizontal="center" vertical="top"/>
    </xf>
    <xf numFmtId="0" fontId="7" fillId="4" borderId="7" xfId="2" applyFill="1" applyBorder="1" applyAlignment="1">
      <alignment horizontal="center" vertical="top"/>
    </xf>
    <xf numFmtId="0" fontId="9" fillId="4" borderId="1" xfId="2" applyFont="1" applyFill="1" applyBorder="1" applyAlignment="1">
      <alignment horizontal="center" vertical="top"/>
    </xf>
  </cellXfs>
  <cellStyles count="3">
    <cellStyle name="Comma" xfId="1" builtinId="3"/>
    <cellStyle name="Normal" xfId="0" builtinId="0"/>
    <cellStyle name="Normal 2" xfId="2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16" noThreeD="1" sel="0" val="0">
  <itemLst>
    <item val="DimFinancialAccount"/>
    <item val="DimProcess"/>
    <item val="DimCOALevel1"/>
    <item val="DimCOALevel2"/>
    <item val="DimCOALevel3"/>
    <item val="DimCOALevel4"/>
    <item val="DimGLCodeType"/>
    <item val="DimCurrency"/>
    <item val="DimProcessType"/>
    <item val="DimStatus"/>
    <item val="DimFinancialAccountType"/>
    <item val="DimHoldingFinancialAccount"/>
    <item val="DimFinancialTransactionType"/>
    <item val="DimFinancialTransactionTypeGroup"/>
    <item val="DimFinancialTransactionSubType"/>
    <item val="DimAgentCommissionType"/>
    <item val="DimMobileOperator"/>
    <item val="DimChannelID"/>
    <item val="DimBank"/>
    <item val="DimBankAccountLinkType"/>
    <item val="DimBankAccount"/>
    <item val="DimUser"/>
    <item val="DimCountry"/>
    <item val="DimGeoZone"/>
    <item val="DimRegion"/>
    <item val="DimLocalGovernmentArea"/>
    <item val="DimCity"/>
    <item val="DimAccountNature"/>
    <item val="DimPagaAccountUserType"/>
    <item val="DimPagaAccount"/>
    <item val="DimMerchantCategory"/>
    <item val="DimOrganizationUnitType"/>
    <item val="DimOrganization"/>
    <item val="DimBusinessType"/>
    <item val="DimOrganizationUnitLevel1"/>
    <item val="DimOrganizationUnitLevel2"/>
    <item val="DimOrganizationUnitLevel3"/>
    <item val="DimOrganizationUnitLevel4"/>
    <item val="DimOrganizationUnitLevel5"/>
  </itemLst>
</formControlPr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</xdr:row>
          <xdr:rowOff>0</xdr:rowOff>
        </xdr:from>
        <xdr:to>
          <xdr:col>3</xdr:col>
          <xdr:colOff>561975</xdr:colOff>
          <xdr:row>2</xdr:row>
          <xdr:rowOff>180975</xdr:rowOff>
        </xdr:to>
        <xdr:sp macro="" textlink="">
          <xdr:nvSpPr>
            <xdr:cNvPr id="25601" name="CreateTableList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590550</xdr:colOff>
          <xdr:row>1</xdr:row>
          <xdr:rowOff>0</xdr:rowOff>
        </xdr:from>
        <xdr:to>
          <xdr:col>5</xdr:col>
          <xdr:colOff>533400</xdr:colOff>
          <xdr:row>2</xdr:row>
          <xdr:rowOff>180975</xdr:rowOff>
        </xdr:to>
        <xdr:sp macro="" textlink="">
          <xdr:nvSpPr>
            <xdr:cNvPr id="25603" name="BuildFactTables" hidden="1">
              <a:extLst>
                <a:ext uri="{63B3BB69-23CF-44E3-9099-C40C66FF867C}">
                  <a14:compatExt spid="_x0000_s2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581025</xdr:colOff>
          <xdr:row>1</xdr:row>
          <xdr:rowOff>0</xdr:rowOff>
        </xdr:from>
        <xdr:to>
          <xdr:col>7</xdr:col>
          <xdr:colOff>523875</xdr:colOff>
          <xdr:row>2</xdr:row>
          <xdr:rowOff>180975</xdr:rowOff>
        </xdr:to>
        <xdr:sp macro="" textlink="">
          <xdr:nvSpPr>
            <xdr:cNvPr id="25604" name="GenerateSQL" hidden="1">
              <a:extLst>
                <a:ext uri="{63B3BB69-23CF-44E3-9099-C40C66FF867C}">
                  <a14:compatExt spid="_x0000_s2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3</xdr:row>
          <xdr:rowOff>28575</xdr:rowOff>
        </xdr:from>
        <xdr:to>
          <xdr:col>3</xdr:col>
          <xdr:colOff>542925</xdr:colOff>
          <xdr:row>6</xdr:row>
          <xdr:rowOff>19050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Build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Fact Tables Only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</xdr:row>
          <xdr:rowOff>133350</xdr:rowOff>
        </xdr:from>
        <xdr:to>
          <xdr:col>0</xdr:col>
          <xdr:colOff>2457450</xdr:colOff>
          <xdr:row>2</xdr:row>
          <xdr:rowOff>381000</xdr:rowOff>
        </xdr:to>
        <xdr:sp macro="" textlink="">
          <xdr:nvSpPr>
            <xdr:cNvPr id="48129" name="Drop Down 1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ropbox/My%20Documents/BusMatrix.v00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Aphelion.PagaFinance.BusMatrix.v00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Database"/>
      <sheetName val="ExpandedTables"/>
      <sheetName val="AllTables"/>
      <sheetName val="Dimensions"/>
      <sheetName val="Facts"/>
      <sheetName val="StandardColumnTemplate"/>
      <sheetName val="bx_Finance"/>
      <sheetName val="bx_Airtime"/>
      <sheetName val="bx_Activity"/>
      <sheetName val="Risk"/>
      <sheetName val="Marketing"/>
      <sheetName val="Other"/>
      <sheetName val="NamedRangeDefintion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Database"/>
      <sheetName val="Events"/>
      <sheetName val="bx_Finance"/>
      <sheetName val="bx_Airtime"/>
      <sheetName val="bx_Activity"/>
      <sheetName val="bx_Risk"/>
      <sheetName val="bx_Marketing"/>
      <sheetName val="bx_Other"/>
      <sheetName val="AllDims"/>
      <sheetName val="AllTables"/>
      <sheetName val="Dimensions"/>
      <sheetName val="Facts"/>
      <sheetName val="Sheet4"/>
      <sheetName val="Aphelion.PagaFinance.BusMatrix"/>
    </sheetNames>
    <definedNames>
      <definedName name="AddExistingDim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me"/>
  <dimension ref="A1"/>
  <sheetViews>
    <sheetView showGridLines="0" workbookViewId="0">
      <selection activeCell="I9" sqref="I9"/>
    </sheetView>
  </sheetViews>
  <sheetFormatPr defaultRowHeight="15" x14ac:dyDescent="0.25"/>
  <cols>
    <col min="1" max="1" width="17.5703125" style="58" bestFit="1" customWidth="1"/>
    <col min="2" max="2" width="10.7109375" style="58" bestFit="1" customWidth="1"/>
    <col min="3" max="16384" width="9.140625" style="58"/>
  </cols>
  <sheetData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1" r:id="rId4" name="CreateTableList">
          <controlPr defaultSize="0" autoLine="0" r:id="rId5">
            <anchor moveWithCells="1">
              <from>
                <xdr:col>2</xdr:col>
                <xdr:colOff>9525</xdr:colOff>
                <xdr:row>1</xdr:row>
                <xdr:rowOff>0</xdr:rowOff>
              </from>
              <to>
                <xdr:col>3</xdr:col>
                <xdr:colOff>561975</xdr:colOff>
                <xdr:row>2</xdr:row>
                <xdr:rowOff>180975</xdr:rowOff>
              </to>
            </anchor>
          </controlPr>
        </control>
      </mc:Choice>
      <mc:Fallback>
        <control shapeId="25601" r:id="rId4" name="CreateTableList"/>
      </mc:Fallback>
    </mc:AlternateContent>
    <mc:AlternateContent xmlns:mc="http://schemas.openxmlformats.org/markup-compatibility/2006">
      <mc:Choice Requires="x14">
        <control shapeId="25603" r:id="rId6" name="BuildFactTables">
          <controlPr defaultSize="0" autoLine="0" r:id="rId7">
            <anchor moveWithCells="1">
              <from>
                <xdr:col>3</xdr:col>
                <xdr:colOff>590550</xdr:colOff>
                <xdr:row>1</xdr:row>
                <xdr:rowOff>0</xdr:rowOff>
              </from>
              <to>
                <xdr:col>5</xdr:col>
                <xdr:colOff>533400</xdr:colOff>
                <xdr:row>2</xdr:row>
                <xdr:rowOff>180975</xdr:rowOff>
              </to>
            </anchor>
          </controlPr>
        </control>
      </mc:Choice>
      <mc:Fallback>
        <control shapeId="25603" r:id="rId6" name="BuildFactTables"/>
      </mc:Fallback>
    </mc:AlternateContent>
    <mc:AlternateContent xmlns:mc="http://schemas.openxmlformats.org/markup-compatibility/2006">
      <mc:Choice Requires="x14">
        <control shapeId="25604" r:id="rId8" name="GenerateSQL">
          <controlPr defaultSize="0" autoLine="0" r:id="rId9">
            <anchor moveWithCells="1">
              <from>
                <xdr:col>5</xdr:col>
                <xdr:colOff>581025</xdr:colOff>
                <xdr:row>1</xdr:row>
                <xdr:rowOff>0</xdr:rowOff>
              </from>
              <to>
                <xdr:col>7</xdr:col>
                <xdr:colOff>523875</xdr:colOff>
                <xdr:row>2</xdr:row>
                <xdr:rowOff>180975</xdr:rowOff>
              </to>
            </anchor>
          </controlPr>
        </control>
      </mc:Choice>
      <mc:Fallback>
        <control shapeId="25604" r:id="rId8" name="GenerateSQL"/>
      </mc:Fallback>
    </mc:AlternateContent>
    <mc:AlternateContent xmlns:mc="http://schemas.openxmlformats.org/markup-compatibility/2006">
      <mc:Choice Requires="x14">
        <control shapeId="25605" r:id="rId10" name="Button 5">
          <controlPr defaultSize="0" print="0" autoFill="0" autoPict="0" macro="[0]!AddDistinctFactTables">
            <anchor moveWithCells="1" sizeWithCells="1">
              <from>
                <xdr:col>2</xdr:col>
                <xdr:colOff>9525</xdr:colOff>
                <xdr:row>3</xdr:row>
                <xdr:rowOff>28575</xdr:rowOff>
              </from>
              <to>
                <xdr:col>3</xdr:col>
                <xdr:colOff>542925</xdr:colOff>
                <xdr:row>6</xdr:row>
                <xdr:rowOff>19050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2:C6"/>
  <sheetViews>
    <sheetView showGridLines="0" workbookViewId="0">
      <selection activeCell="C16" sqref="C16"/>
    </sheetView>
  </sheetViews>
  <sheetFormatPr defaultRowHeight="15" x14ac:dyDescent="0.25"/>
  <cols>
    <col min="1" max="1" width="3.28515625" customWidth="1"/>
    <col min="2" max="2" width="26.5703125" bestFit="1" customWidth="1"/>
    <col min="3" max="3" width="73.140625" customWidth="1"/>
  </cols>
  <sheetData>
    <row r="2" spans="2:3" ht="18" x14ac:dyDescent="0.25">
      <c r="B2" s="60" t="s">
        <v>98</v>
      </c>
      <c r="C2" s="65">
        <f ca="1">TODAY()</f>
        <v>41867</v>
      </c>
    </row>
    <row r="3" spans="2:3" ht="18" x14ac:dyDescent="0.25">
      <c r="B3" s="60" t="s">
        <v>99</v>
      </c>
      <c r="C3" s="61" t="s">
        <v>441</v>
      </c>
    </row>
    <row r="4" spans="2:3" ht="18" x14ac:dyDescent="0.25">
      <c r="B4" s="62" t="s">
        <v>100</v>
      </c>
      <c r="C4" s="63"/>
    </row>
    <row r="5" spans="2:3" ht="18" x14ac:dyDescent="0.25">
      <c r="B5" s="60" t="s">
        <v>101</v>
      </c>
      <c r="C5" s="64">
        <v>1</v>
      </c>
    </row>
    <row r="6" spans="2:3" ht="18" x14ac:dyDescent="0.25">
      <c r="B6" s="60" t="s">
        <v>102</v>
      </c>
      <c r="C6" s="64" t="s">
        <v>50</v>
      </c>
    </row>
  </sheetData>
  <dataValidations count="2">
    <dataValidation type="list" allowBlank="1" showInputMessage="1" showErrorMessage="1" errorTitle="Enter Y or N" error="Enter Y or N" sqref="C6">
      <formula1>"Y, N"</formula1>
    </dataValidation>
    <dataValidation operator="greaterThan" showInputMessage="1" showErrorMessage="1" errorTitle="Required" error="Always enter a description of at least 10 characters." promptTitle="Description is required" sqref="C4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44"/>
  <sheetViews>
    <sheetView workbookViewId="0">
      <selection activeCell="A2" sqref="A2:XFD44"/>
    </sheetView>
  </sheetViews>
  <sheetFormatPr defaultRowHeight="12.75" x14ac:dyDescent="0.2"/>
  <cols>
    <col min="1" max="1" width="13.42578125" style="50" bestFit="1" customWidth="1"/>
    <col min="2" max="2" width="24" style="50" bestFit="1" customWidth="1"/>
    <col min="3" max="3" width="15.85546875" style="50" bestFit="1" customWidth="1"/>
    <col min="4" max="4" width="20" style="50" bestFit="1" customWidth="1"/>
    <col min="5" max="5" width="19.28515625" style="50" bestFit="1" customWidth="1"/>
    <col min="6" max="6" width="12" style="50" bestFit="1" customWidth="1"/>
    <col min="7" max="7" width="17.140625" style="50" bestFit="1" customWidth="1"/>
    <col min="8" max="8" width="7.28515625" style="50" bestFit="1" customWidth="1"/>
    <col min="9" max="9" width="18.85546875" style="50" bestFit="1" customWidth="1"/>
    <col min="10" max="10" width="8.42578125" style="50" bestFit="1" customWidth="1"/>
    <col min="11" max="16384" width="9.140625" style="50"/>
  </cols>
  <sheetData>
    <row r="1" spans="1:10" x14ac:dyDescent="0.2">
      <c r="A1" s="51" t="s">
        <v>34</v>
      </c>
      <c r="B1" s="51" t="s">
        <v>35</v>
      </c>
      <c r="C1" s="52" t="s">
        <v>20</v>
      </c>
      <c r="D1" s="52" t="s">
        <v>36</v>
      </c>
      <c r="E1" s="51" t="s">
        <v>37</v>
      </c>
      <c r="F1" s="51" t="s">
        <v>38</v>
      </c>
      <c r="G1" s="51" t="s">
        <v>39</v>
      </c>
      <c r="H1" s="51" t="s">
        <v>28</v>
      </c>
      <c r="I1" s="51" t="s">
        <v>40</v>
      </c>
      <c r="J1" s="51" t="s">
        <v>82</v>
      </c>
    </row>
    <row r="2" spans="1:10" s="43" customFormat="1" ht="11.25" x14ac:dyDescent="0.2">
      <c r="A2" s="59" t="s">
        <v>41</v>
      </c>
      <c r="B2" s="59" t="s">
        <v>51</v>
      </c>
      <c r="C2" s="59"/>
      <c r="D2" s="59"/>
      <c r="E2" s="59"/>
      <c r="F2" s="59"/>
      <c r="G2" s="59"/>
      <c r="H2" s="59"/>
      <c r="I2" s="59" t="s">
        <v>4</v>
      </c>
      <c r="J2" s="45">
        <f t="array" aca="1" ref="J2" ca="1">SUM(IF((A2=TableType)*(B2=TableName),1,0))</f>
        <v>0</v>
      </c>
    </row>
    <row r="3" spans="1:10" s="43" customFormat="1" ht="11.25" x14ac:dyDescent="0.2">
      <c r="A3" s="45" t="s">
        <v>41</v>
      </c>
      <c r="B3" s="45" t="s">
        <v>52</v>
      </c>
      <c r="C3" s="45"/>
      <c r="D3" s="45"/>
      <c r="E3" s="45"/>
      <c r="F3" s="45"/>
      <c r="G3" s="45"/>
      <c r="H3" s="45"/>
      <c r="I3" s="45" t="s">
        <v>4</v>
      </c>
      <c r="J3" s="45">
        <f t="array" aca="1" ref="J3" ca="1">SUM(IF((A3=TableType)*(B3=TableName),1,0))</f>
        <v>0</v>
      </c>
    </row>
    <row r="4" spans="1:10" s="43" customFormat="1" ht="11.25" x14ac:dyDescent="0.2">
      <c r="A4" s="45" t="s">
        <v>41</v>
      </c>
      <c r="B4" s="45" t="s">
        <v>53</v>
      </c>
      <c r="C4" s="45"/>
      <c r="D4" s="45"/>
      <c r="E4" s="45"/>
      <c r="F4" s="45"/>
      <c r="G4" s="45"/>
      <c r="H4" s="45"/>
      <c r="I4" s="45" t="s">
        <v>4</v>
      </c>
      <c r="J4" s="45">
        <f t="array" aca="1" ref="J4" ca="1">SUM(IF((A4=TableType)*(B4=TableName),1,0))</f>
        <v>0</v>
      </c>
    </row>
    <row r="5" spans="1:10" s="43" customFormat="1" ht="11.25" x14ac:dyDescent="0.2">
      <c r="A5" s="45" t="s">
        <v>41</v>
      </c>
      <c r="B5" s="45" t="s">
        <v>54</v>
      </c>
      <c r="C5" s="45"/>
      <c r="D5" s="45"/>
      <c r="E5" s="45"/>
      <c r="F5" s="45"/>
      <c r="G5" s="45"/>
      <c r="H5" s="45"/>
      <c r="I5" s="45" t="s">
        <v>4</v>
      </c>
      <c r="J5" s="45">
        <f t="array" aca="1" ref="J5" ca="1">SUM(IF((A5=TableType)*(B5=TableName),1,0))</f>
        <v>0</v>
      </c>
    </row>
    <row r="6" spans="1:10" s="43" customFormat="1" ht="11.25" x14ac:dyDescent="0.2">
      <c r="A6" s="45" t="s">
        <v>41</v>
      </c>
      <c r="B6" s="45" t="s">
        <v>55</v>
      </c>
      <c r="C6" s="45"/>
      <c r="D6" s="45"/>
      <c r="E6" s="45"/>
      <c r="F6" s="45"/>
      <c r="G6" s="45"/>
      <c r="H6" s="45"/>
      <c r="I6" s="45" t="s">
        <v>4</v>
      </c>
      <c r="J6" s="45">
        <f t="array" aca="1" ref="J6" ca="1">SUM(IF((A6=TableType)*(B6=TableName),1,0))</f>
        <v>0</v>
      </c>
    </row>
    <row r="7" spans="1:10" s="43" customFormat="1" ht="11.25" x14ac:dyDescent="0.2">
      <c r="A7" s="45" t="s">
        <v>41</v>
      </c>
      <c r="B7" s="45" t="s">
        <v>56</v>
      </c>
      <c r="C7" s="45"/>
      <c r="D7" s="45"/>
      <c r="E7" s="45"/>
      <c r="F7" s="45"/>
      <c r="G7" s="45"/>
      <c r="H7" s="45"/>
      <c r="I7" s="45" t="s">
        <v>4</v>
      </c>
      <c r="J7" s="45">
        <f t="array" aca="1" ref="J7" ca="1">SUM(IF((A7=TableType)*(B7=TableName),1,0))</f>
        <v>0</v>
      </c>
    </row>
    <row r="8" spans="1:10" s="43" customFormat="1" ht="11.25" x14ac:dyDescent="0.2">
      <c r="A8" s="45" t="s">
        <v>41</v>
      </c>
      <c r="B8" s="45" t="s">
        <v>57</v>
      </c>
      <c r="C8" s="45"/>
      <c r="D8" s="45"/>
      <c r="E8" s="45"/>
      <c r="F8" s="45"/>
      <c r="G8" s="45"/>
      <c r="H8" s="45"/>
      <c r="I8" s="45" t="s">
        <v>4</v>
      </c>
      <c r="J8" s="45">
        <f t="array" aca="1" ref="J8" ca="1">SUM(IF((A8=TableType)*(B8=TableName),1,0))</f>
        <v>0</v>
      </c>
    </row>
    <row r="9" spans="1:10" s="43" customFormat="1" ht="11.25" x14ac:dyDescent="0.2">
      <c r="A9" s="45" t="s">
        <v>41</v>
      </c>
      <c r="B9" s="45" t="s">
        <v>58</v>
      </c>
      <c r="C9" s="45"/>
      <c r="D9" s="45"/>
      <c r="E9" s="45"/>
      <c r="F9" s="45"/>
      <c r="G9" s="45"/>
      <c r="H9" s="45"/>
      <c r="I9" s="45" t="s">
        <v>4</v>
      </c>
      <c r="J9" s="45">
        <f t="array" aca="1" ref="J9" ca="1">SUM(IF((A9=TableType)*(B9=TableName),1,0))</f>
        <v>0</v>
      </c>
    </row>
    <row r="10" spans="1:10" s="43" customFormat="1" ht="11.25" x14ac:dyDescent="0.2">
      <c r="A10" s="45" t="s">
        <v>41</v>
      </c>
      <c r="B10" s="45" t="s">
        <v>59</v>
      </c>
      <c r="C10" s="45"/>
      <c r="D10" s="45"/>
      <c r="E10" s="45"/>
      <c r="F10" s="45"/>
      <c r="G10" s="45"/>
      <c r="H10" s="45"/>
      <c r="I10" s="45" t="s">
        <v>4</v>
      </c>
      <c r="J10" s="45">
        <f t="array" aca="1" ref="J10" ca="1">SUM(IF((A10=TableType)*(B10=TableName),1,0))</f>
        <v>0</v>
      </c>
    </row>
    <row r="11" spans="1:10" s="43" customFormat="1" ht="11.25" x14ac:dyDescent="0.2">
      <c r="A11" s="45" t="s">
        <v>41</v>
      </c>
      <c r="B11" s="45" t="s">
        <v>60</v>
      </c>
      <c r="C11" s="45"/>
      <c r="D11" s="45"/>
      <c r="E11" s="45"/>
      <c r="F11" s="45"/>
      <c r="G11" s="45"/>
      <c r="H11" s="45"/>
      <c r="I11" s="45" t="s">
        <v>4</v>
      </c>
      <c r="J11" s="45">
        <f t="array" aca="1" ref="J11" ca="1">SUM(IF((A11=TableType)*(B11=TableName),1,0))</f>
        <v>0</v>
      </c>
    </row>
    <row r="12" spans="1:10" s="43" customFormat="1" ht="11.25" x14ac:dyDescent="0.2">
      <c r="A12" s="45" t="s">
        <v>41</v>
      </c>
      <c r="B12" s="45" t="s">
        <v>61</v>
      </c>
      <c r="C12" s="45"/>
      <c r="D12" s="45"/>
      <c r="E12" s="45"/>
      <c r="F12" s="45"/>
      <c r="G12" s="45"/>
      <c r="H12" s="45"/>
      <c r="I12" s="45" t="s">
        <v>4</v>
      </c>
      <c r="J12" s="45">
        <f t="array" aca="1" ref="J12" ca="1">SUM(IF((A12=TableType)*(B12=TableName),1,0))</f>
        <v>0</v>
      </c>
    </row>
    <row r="13" spans="1:10" s="43" customFormat="1" ht="11.25" x14ac:dyDescent="0.2">
      <c r="A13" s="45" t="s">
        <v>41</v>
      </c>
      <c r="B13" s="45" t="s">
        <v>17</v>
      </c>
      <c r="C13" s="45"/>
      <c r="D13" s="45"/>
      <c r="E13" s="45"/>
      <c r="F13" s="45"/>
      <c r="G13" s="45"/>
      <c r="H13" s="45"/>
      <c r="I13" s="45" t="s">
        <v>4</v>
      </c>
      <c r="J13" s="45">
        <f t="array" aca="1" ref="J13" ca="1">SUM(IF((A13=TableType)*(B13=TableName),1,0))</f>
        <v>0</v>
      </c>
    </row>
    <row r="14" spans="1:10" s="43" customFormat="1" ht="11.25" x14ac:dyDescent="0.2">
      <c r="A14" s="45" t="s">
        <v>41</v>
      </c>
      <c r="B14" s="45" t="s">
        <v>62</v>
      </c>
      <c r="C14" s="45"/>
      <c r="D14" s="45"/>
      <c r="E14" s="45"/>
      <c r="F14" s="45"/>
      <c r="G14" s="45"/>
      <c r="H14" s="45"/>
      <c r="I14" s="45" t="s">
        <v>4</v>
      </c>
      <c r="J14" s="45">
        <f t="array" aca="1" ref="J14" ca="1">SUM(IF((A14=TableType)*(B14=TableName),1,0))</f>
        <v>0</v>
      </c>
    </row>
    <row r="15" spans="1:10" s="43" customFormat="1" ht="11.25" x14ac:dyDescent="0.2">
      <c r="A15" s="45" t="s">
        <v>41</v>
      </c>
      <c r="B15" s="45" t="s">
        <v>7</v>
      </c>
      <c r="C15" s="45"/>
      <c r="D15" s="45"/>
      <c r="E15" s="45"/>
      <c r="F15" s="45"/>
      <c r="G15" s="45"/>
      <c r="H15" s="45"/>
      <c r="I15" s="45" t="s">
        <v>4</v>
      </c>
      <c r="J15" s="45">
        <f t="array" aca="1" ref="J15" ca="1">SUM(IF((A15=TableType)*(B15=TableName),1,0))</f>
        <v>0</v>
      </c>
    </row>
    <row r="16" spans="1:10" s="43" customFormat="1" ht="11.25" x14ac:dyDescent="0.2">
      <c r="A16" s="45" t="s">
        <v>41</v>
      </c>
      <c r="B16" s="45" t="s">
        <v>63</v>
      </c>
      <c r="C16" s="45"/>
      <c r="D16" s="45"/>
      <c r="E16" s="45"/>
      <c r="F16" s="45"/>
      <c r="G16" s="45"/>
      <c r="H16" s="45"/>
      <c r="I16" s="45" t="s">
        <v>4</v>
      </c>
      <c r="J16" s="45">
        <f t="array" aca="1" ref="J16" ca="1">SUM(IF((A16=TableType)*(B16=TableName),1,0))</f>
        <v>0</v>
      </c>
    </row>
    <row r="17" spans="1:10" s="43" customFormat="1" ht="11.25" x14ac:dyDescent="0.2">
      <c r="A17" s="45" t="s">
        <v>41</v>
      </c>
      <c r="B17" s="45" t="s">
        <v>64</v>
      </c>
      <c r="C17" s="45"/>
      <c r="D17" s="45"/>
      <c r="E17" s="45"/>
      <c r="F17" s="45"/>
      <c r="G17" s="45"/>
      <c r="H17" s="45"/>
      <c r="I17" s="45" t="s">
        <v>4</v>
      </c>
      <c r="J17" s="45">
        <f t="array" aca="1" ref="J17" ca="1">SUM(IF((A17=TableType)*(B17=TableName),1,0))</f>
        <v>0</v>
      </c>
    </row>
    <row r="18" spans="1:10" s="43" customFormat="1" ht="11.25" x14ac:dyDescent="0.2">
      <c r="A18" s="45" t="s">
        <v>41</v>
      </c>
      <c r="B18" s="45" t="s">
        <v>65</v>
      </c>
      <c r="C18" s="45"/>
      <c r="D18" s="45"/>
      <c r="E18" s="45"/>
      <c r="F18" s="45"/>
      <c r="G18" s="45"/>
      <c r="H18" s="45"/>
      <c r="I18" s="45" t="s">
        <v>4</v>
      </c>
      <c r="J18" s="45">
        <f t="array" aca="1" ref="J18" ca="1">SUM(IF((A18=TableType)*(B18=TableName),1,0))</f>
        <v>0</v>
      </c>
    </row>
    <row r="19" spans="1:10" s="43" customFormat="1" ht="11.25" x14ac:dyDescent="0.2">
      <c r="A19" s="45" t="s">
        <v>41</v>
      </c>
      <c r="B19" s="45" t="s">
        <v>8</v>
      </c>
      <c r="C19" s="45"/>
      <c r="D19" s="45"/>
      <c r="E19" s="45"/>
      <c r="F19" s="45"/>
      <c r="G19" s="45"/>
      <c r="H19" s="45"/>
      <c r="I19" s="45" t="s">
        <v>4</v>
      </c>
      <c r="J19" s="45">
        <f t="array" aca="1" ref="J19" ca="1">SUM(IF((A19=TableType)*(B19=TableName),1,0))</f>
        <v>0</v>
      </c>
    </row>
    <row r="20" spans="1:10" s="43" customFormat="1" ht="11.25" x14ac:dyDescent="0.2">
      <c r="A20" s="45" t="s">
        <v>41</v>
      </c>
      <c r="B20" s="45" t="s">
        <v>9</v>
      </c>
      <c r="C20" s="45"/>
      <c r="D20" s="45"/>
      <c r="E20" s="45"/>
      <c r="F20" s="45"/>
      <c r="G20" s="45"/>
      <c r="H20" s="45"/>
      <c r="I20" s="45" t="s">
        <v>4</v>
      </c>
      <c r="J20" s="45">
        <f t="array" aca="1" ref="J20" ca="1">SUM(IF((A20=TableType)*(B20=TableName),1,0))</f>
        <v>0</v>
      </c>
    </row>
    <row r="21" spans="1:10" s="43" customFormat="1" ht="11.25" x14ac:dyDescent="0.2">
      <c r="A21" s="45" t="s">
        <v>41</v>
      </c>
      <c r="B21" s="45" t="s">
        <v>66</v>
      </c>
      <c r="C21" s="45"/>
      <c r="D21" s="45"/>
      <c r="E21" s="45"/>
      <c r="F21" s="45"/>
      <c r="G21" s="45"/>
      <c r="H21" s="45"/>
      <c r="I21" s="45" t="s">
        <v>4</v>
      </c>
      <c r="J21" s="45">
        <f t="array" aca="1" ref="J21" ca="1">SUM(IF((A21=TableType)*(B21=TableName),1,0))</f>
        <v>0</v>
      </c>
    </row>
    <row r="22" spans="1:10" s="43" customFormat="1" ht="11.25" x14ac:dyDescent="0.2">
      <c r="A22" s="45" t="s">
        <v>41</v>
      </c>
      <c r="B22" s="45" t="s">
        <v>67</v>
      </c>
      <c r="C22" s="45"/>
      <c r="D22" s="45"/>
      <c r="E22" s="45"/>
      <c r="F22" s="45"/>
      <c r="G22" s="45"/>
      <c r="H22" s="45"/>
      <c r="I22" s="45" t="s">
        <v>4</v>
      </c>
      <c r="J22" s="45">
        <f t="array" aca="1" ref="J22" ca="1">SUM(IF((A22=TableType)*(B22=TableName),1,0))</f>
        <v>0</v>
      </c>
    </row>
    <row r="23" spans="1:10" s="43" customFormat="1" ht="11.25" x14ac:dyDescent="0.2">
      <c r="A23" s="45" t="s">
        <v>41</v>
      </c>
      <c r="B23" s="45" t="s">
        <v>68</v>
      </c>
      <c r="C23" s="45"/>
      <c r="D23" s="45"/>
      <c r="E23" s="45"/>
      <c r="F23" s="45"/>
      <c r="G23" s="45"/>
      <c r="H23" s="45"/>
      <c r="I23" s="45" t="s">
        <v>4</v>
      </c>
      <c r="J23" s="45">
        <f t="array" aca="1" ref="J23" ca="1">SUM(IF((A23=TableType)*(B23=TableName),1,0))</f>
        <v>0</v>
      </c>
    </row>
    <row r="24" spans="1:10" s="43" customFormat="1" ht="11.25" x14ac:dyDescent="0.2">
      <c r="A24" s="45" t="s">
        <v>41</v>
      </c>
      <c r="B24" s="45" t="s">
        <v>69</v>
      </c>
      <c r="C24" s="45"/>
      <c r="D24" s="45"/>
      <c r="E24" s="45"/>
      <c r="F24" s="45"/>
      <c r="G24" s="45"/>
      <c r="H24" s="45"/>
      <c r="I24" s="45" t="s">
        <v>4</v>
      </c>
      <c r="J24" s="45">
        <f t="array" aca="1" ref="J24" ca="1">SUM(IF((A24=TableType)*(B24=TableName),1,0))</f>
        <v>0</v>
      </c>
    </row>
    <row r="25" spans="1:10" s="43" customFormat="1" ht="11.25" x14ac:dyDescent="0.2">
      <c r="A25" s="45" t="s">
        <v>41</v>
      </c>
      <c r="B25" s="45" t="s">
        <v>70</v>
      </c>
      <c r="C25" s="45"/>
      <c r="D25" s="45"/>
      <c r="E25" s="45"/>
      <c r="F25" s="45"/>
      <c r="G25" s="45"/>
      <c r="H25" s="45"/>
      <c r="I25" s="45" t="s">
        <v>4</v>
      </c>
      <c r="J25" s="45">
        <f t="array" aca="1" ref="J25" ca="1">SUM(IF((A25=TableType)*(B25=TableName),1,0))</f>
        <v>0</v>
      </c>
    </row>
    <row r="26" spans="1:10" s="43" customFormat="1" ht="11.25" x14ac:dyDescent="0.2">
      <c r="A26" s="45" t="s">
        <v>41</v>
      </c>
      <c r="B26" s="45" t="s">
        <v>71</v>
      </c>
      <c r="C26" s="45"/>
      <c r="D26" s="45"/>
      <c r="E26" s="45"/>
      <c r="F26" s="45"/>
      <c r="G26" s="45"/>
      <c r="H26" s="45"/>
      <c r="I26" s="45" t="s">
        <v>4</v>
      </c>
      <c r="J26" s="45">
        <f t="array" aca="1" ref="J26" ca="1">SUM(IF((A26=TableType)*(B26=TableName),1,0))</f>
        <v>0</v>
      </c>
    </row>
    <row r="27" spans="1:10" s="43" customFormat="1" ht="11.25" x14ac:dyDescent="0.2">
      <c r="A27" s="45" t="s">
        <v>41</v>
      </c>
      <c r="B27" s="45" t="s">
        <v>10</v>
      </c>
      <c r="C27" s="45"/>
      <c r="D27" s="45"/>
      <c r="E27" s="45"/>
      <c r="F27" s="45"/>
      <c r="G27" s="45"/>
      <c r="H27" s="45"/>
      <c r="I27" s="45" t="s">
        <v>4</v>
      </c>
      <c r="J27" s="45">
        <f t="array" aca="1" ref="J27" ca="1">SUM(IF((A27=TableType)*(B27=TableName),1,0))</f>
        <v>0</v>
      </c>
    </row>
    <row r="28" spans="1:10" s="43" customFormat="1" ht="11.25" x14ac:dyDescent="0.2">
      <c r="A28" s="45" t="s">
        <v>41</v>
      </c>
      <c r="B28" s="45" t="s">
        <v>72</v>
      </c>
      <c r="C28" s="45"/>
      <c r="D28" s="45"/>
      <c r="E28" s="45"/>
      <c r="F28" s="45"/>
      <c r="G28" s="45"/>
      <c r="H28" s="45"/>
      <c r="I28" s="45" t="s">
        <v>4</v>
      </c>
      <c r="J28" s="45">
        <f t="array" aca="1" ref="J28" ca="1">SUM(IF((A28=TableType)*(B28=TableName),1,0))</f>
        <v>0</v>
      </c>
    </row>
    <row r="29" spans="1:10" s="43" customFormat="1" ht="11.25" x14ac:dyDescent="0.2">
      <c r="A29" s="45" t="s">
        <v>41</v>
      </c>
      <c r="B29" s="45" t="s">
        <v>73</v>
      </c>
      <c r="C29" s="45"/>
      <c r="D29" s="45"/>
      <c r="E29" s="45"/>
      <c r="F29" s="45"/>
      <c r="G29" s="45"/>
      <c r="H29" s="45"/>
      <c r="I29" s="45" t="s">
        <v>4</v>
      </c>
      <c r="J29" s="45">
        <f t="array" aca="1" ref="J29" ca="1">SUM(IF((A29=TableType)*(B29=TableName),1,0))</f>
        <v>0</v>
      </c>
    </row>
    <row r="30" spans="1:10" s="43" customFormat="1" ht="11.25" x14ac:dyDescent="0.2">
      <c r="A30" s="45" t="s">
        <v>41</v>
      </c>
      <c r="B30" s="45" t="s">
        <v>11</v>
      </c>
      <c r="C30" s="45"/>
      <c r="D30" s="45"/>
      <c r="E30" s="45"/>
      <c r="F30" s="45"/>
      <c r="G30" s="45"/>
      <c r="H30" s="45"/>
      <c r="I30" s="45" t="s">
        <v>4</v>
      </c>
      <c r="J30" s="45">
        <f t="array" aca="1" ref="J30" ca="1">SUM(IF((A30=TableType)*(B30=TableName),1,0))</f>
        <v>0</v>
      </c>
    </row>
    <row r="31" spans="1:10" s="43" customFormat="1" ht="11.25" x14ac:dyDescent="0.2">
      <c r="A31" s="45" t="s">
        <v>41</v>
      </c>
      <c r="B31" s="45" t="s">
        <v>74</v>
      </c>
      <c r="C31" s="45"/>
      <c r="D31" s="45"/>
      <c r="E31" s="45"/>
      <c r="F31" s="45"/>
      <c r="G31" s="45"/>
      <c r="H31" s="45"/>
      <c r="I31" s="45" t="s">
        <v>4</v>
      </c>
      <c r="J31" s="45">
        <f t="array" aca="1" ref="J31" ca="1">SUM(IF((A31=TableType)*(B31=TableName),1,0))</f>
        <v>0</v>
      </c>
    </row>
    <row r="32" spans="1:10" s="43" customFormat="1" ht="11.25" x14ac:dyDescent="0.2">
      <c r="A32" s="45" t="s">
        <v>41</v>
      </c>
      <c r="B32" s="45" t="s">
        <v>75</v>
      </c>
      <c r="C32" s="45"/>
      <c r="D32" s="45"/>
      <c r="E32" s="45"/>
      <c r="F32" s="45"/>
      <c r="G32" s="45"/>
      <c r="H32" s="45"/>
      <c r="I32" s="45" t="s">
        <v>4</v>
      </c>
      <c r="J32" s="45">
        <f t="array" aca="1" ref="J32" ca="1">SUM(IF((A32=TableType)*(B32=TableName),1,0))</f>
        <v>0</v>
      </c>
    </row>
    <row r="33" spans="1:10" s="43" customFormat="1" ht="11.25" x14ac:dyDescent="0.2">
      <c r="A33" s="45" t="s">
        <v>41</v>
      </c>
      <c r="B33" s="45" t="s">
        <v>76</v>
      </c>
      <c r="C33" s="45"/>
      <c r="D33" s="45"/>
      <c r="E33" s="45"/>
      <c r="F33" s="45"/>
      <c r="G33" s="45"/>
      <c r="H33" s="45"/>
      <c r="I33" s="45" t="s">
        <v>4</v>
      </c>
      <c r="J33" s="45">
        <f t="array" aca="1" ref="J33" ca="1">SUM(IF((A33=TableType)*(B33=TableName),1,0))</f>
        <v>0</v>
      </c>
    </row>
    <row r="34" spans="1:10" s="43" customFormat="1" ht="11.25" x14ac:dyDescent="0.2">
      <c r="A34" s="45" t="s">
        <v>41</v>
      </c>
      <c r="B34" s="45" t="s">
        <v>77</v>
      </c>
      <c r="C34" s="45"/>
      <c r="D34" s="45"/>
      <c r="E34" s="45"/>
      <c r="F34" s="45"/>
      <c r="G34" s="45"/>
      <c r="H34" s="45"/>
      <c r="I34" s="45" t="s">
        <v>4</v>
      </c>
      <c r="J34" s="45">
        <f t="array" aca="1" ref="J34" ca="1">SUM(IF((A34=TableType)*(B34=TableName),1,0))</f>
        <v>0</v>
      </c>
    </row>
    <row r="35" spans="1:10" s="43" customFormat="1" ht="11.25" x14ac:dyDescent="0.2">
      <c r="A35" s="45" t="s">
        <v>41</v>
      </c>
      <c r="B35" s="45" t="s">
        <v>78</v>
      </c>
      <c r="C35" s="45"/>
      <c r="D35" s="45"/>
      <c r="E35" s="45"/>
      <c r="F35" s="45"/>
      <c r="G35" s="45"/>
      <c r="H35" s="45"/>
      <c r="I35" s="45" t="s">
        <v>4</v>
      </c>
      <c r="J35" s="45">
        <f t="array" aca="1" ref="J35" ca="1">SUM(IF((A35=TableType)*(B35=TableName),1,0))</f>
        <v>0</v>
      </c>
    </row>
    <row r="36" spans="1:10" s="43" customFormat="1" ht="11.25" x14ac:dyDescent="0.2">
      <c r="A36" s="45" t="s">
        <v>41</v>
      </c>
      <c r="B36" s="45" t="s">
        <v>12</v>
      </c>
      <c r="C36" s="45"/>
      <c r="D36" s="45"/>
      <c r="E36" s="45"/>
      <c r="F36" s="45"/>
      <c r="G36" s="45"/>
      <c r="H36" s="45"/>
      <c r="I36" s="45" t="s">
        <v>4</v>
      </c>
      <c r="J36" s="45">
        <f t="array" aca="1" ref="J36" ca="1">SUM(IF((A36=TableType)*(B36=TableName),1,0))</f>
        <v>0</v>
      </c>
    </row>
    <row r="37" spans="1:10" s="43" customFormat="1" ht="11.25" x14ac:dyDescent="0.2">
      <c r="A37" s="45" t="s">
        <v>41</v>
      </c>
      <c r="B37" s="45" t="s">
        <v>13</v>
      </c>
      <c r="C37" s="45"/>
      <c r="D37" s="45"/>
      <c r="E37" s="45"/>
      <c r="F37" s="45"/>
      <c r="G37" s="45"/>
      <c r="H37" s="45"/>
      <c r="I37" s="45" t="s">
        <v>4</v>
      </c>
      <c r="J37" s="45">
        <f t="array" aca="1" ref="J37" ca="1">SUM(IF((A37=TableType)*(B37=TableName),1,0))</f>
        <v>0</v>
      </c>
    </row>
    <row r="38" spans="1:10" s="43" customFormat="1" ht="11.25" x14ac:dyDescent="0.2">
      <c r="A38" s="45" t="s">
        <v>41</v>
      </c>
      <c r="B38" s="45" t="s">
        <v>14</v>
      </c>
      <c r="C38" s="45"/>
      <c r="D38" s="45"/>
      <c r="E38" s="45"/>
      <c r="F38" s="45"/>
      <c r="G38" s="45"/>
      <c r="H38" s="45"/>
      <c r="I38" s="45" t="s">
        <v>4</v>
      </c>
      <c r="J38" s="45">
        <f t="array" aca="1" ref="J38" ca="1">SUM(IF((A38=TableType)*(B38=TableName),1,0))</f>
        <v>0</v>
      </c>
    </row>
    <row r="39" spans="1:10" s="43" customFormat="1" ht="11.25" x14ac:dyDescent="0.2">
      <c r="A39" s="45" t="s">
        <v>41</v>
      </c>
      <c r="B39" s="45" t="s">
        <v>79</v>
      </c>
      <c r="C39" s="45"/>
      <c r="D39" s="45"/>
      <c r="E39" s="45"/>
      <c r="F39" s="45"/>
      <c r="G39" s="45"/>
      <c r="H39" s="45"/>
      <c r="I39" s="45" t="s">
        <v>4</v>
      </c>
      <c r="J39" s="45">
        <f t="array" aca="1" ref="J39" ca="1">SUM(IF((A39=TableType)*(B39=TableName),1,0))</f>
        <v>0</v>
      </c>
    </row>
    <row r="40" spans="1:10" s="43" customFormat="1" ht="11.25" x14ac:dyDescent="0.2">
      <c r="A40" s="45" t="s">
        <v>41</v>
      </c>
      <c r="B40" s="45" t="s">
        <v>80</v>
      </c>
      <c r="C40" s="45"/>
      <c r="D40" s="45"/>
      <c r="E40" s="45"/>
      <c r="F40" s="45"/>
      <c r="G40" s="45"/>
      <c r="H40" s="45"/>
      <c r="I40" s="45" t="s">
        <v>4</v>
      </c>
      <c r="J40" s="45">
        <f t="array" aca="1" ref="J40" ca="1">SUM(IF((A40=TableType)*(B40=TableName),1,0))</f>
        <v>0</v>
      </c>
    </row>
    <row r="41" spans="1:10" s="43" customFormat="1" ht="11.25" x14ac:dyDescent="0.2">
      <c r="A41" s="45" t="s">
        <v>41</v>
      </c>
      <c r="B41" s="45" t="s">
        <v>15</v>
      </c>
      <c r="C41" s="45"/>
      <c r="D41" s="45"/>
      <c r="E41" s="45"/>
      <c r="F41" s="45"/>
      <c r="G41" s="45"/>
      <c r="H41" s="45"/>
      <c r="I41" s="45" t="s">
        <v>4</v>
      </c>
      <c r="J41" s="45">
        <f t="array" aca="1" ref="J41" ca="1">SUM(IF((A41=TableType)*(B41=TableName),1,0))</f>
        <v>0</v>
      </c>
    </row>
    <row r="42" spans="1:10" s="43" customFormat="1" ht="11.25" x14ac:dyDescent="0.2">
      <c r="A42" s="45" t="s">
        <v>41</v>
      </c>
      <c r="B42" s="45" t="s">
        <v>16</v>
      </c>
      <c r="C42" s="45"/>
      <c r="D42" s="45"/>
      <c r="E42" s="45"/>
      <c r="F42" s="45"/>
      <c r="G42" s="45"/>
      <c r="H42" s="45"/>
      <c r="I42" s="45" t="s">
        <v>4</v>
      </c>
      <c r="J42" s="45">
        <f t="array" aca="1" ref="J42" ca="1">SUM(IF((A42=TableType)*(B42=TableName),1,0))</f>
        <v>0</v>
      </c>
    </row>
    <row r="43" spans="1:10" s="43" customFormat="1" ht="11.25" x14ac:dyDescent="0.2">
      <c r="A43" s="45" t="s">
        <v>41</v>
      </c>
      <c r="B43" s="45" t="s">
        <v>49</v>
      </c>
      <c r="C43" s="45"/>
      <c r="D43" s="45"/>
      <c r="E43" s="45"/>
      <c r="F43" s="45"/>
      <c r="G43" s="45"/>
      <c r="H43" s="45"/>
      <c r="I43" s="45" t="s">
        <v>4</v>
      </c>
      <c r="J43" s="45">
        <f t="array" aca="1" ref="J43" ca="1">SUM(IF((A43=TableType)*(B43=TableName),1,0))</f>
        <v>0</v>
      </c>
    </row>
    <row r="44" spans="1:10" s="43" customFormat="1" ht="11.25" x14ac:dyDescent="0.2">
      <c r="A44" s="45" t="s">
        <v>41</v>
      </c>
      <c r="B44" s="45" t="s">
        <v>81</v>
      </c>
      <c r="C44" s="45"/>
      <c r="D44" s="45"/>
      <c r="E44" s="45"/>
      <c r="F44" s="45"/>
      <c r="G44" s="45"/>
      <c r="H44" s="45"/>
      <c r="I44" s="45" t="s">
        <v>4</v>
      </c>
      <c r="J44" s="45">
        <f t="array" aca="1" ref="J44" ca="1">SUM(IF((A44=TableType)*(B44=TableName),1,0))</f>
        <v>0</v>
      </c>
    </row>
  </sheetData>
  <autoFilter ref="A1:J44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L32"/>
  <sheetViews>
    <sheetView workbookViewId="0">
      <pane ySplit="1" topLeftCell="A2" activePane="bottomLeft" state="frozen"/>
      <selection activeCell="C1048532" sqref="C1048532"/>
      <selection pane="bottomLeft" activeCell="I17" sqref="I17"/>
    </sheetView>
  </sheetViews>
  <sheetFormatPr defaultRowHeight="12" customHeight="1" x14ac:dyDescent="0.2"/>
  <cols>
    <col min="1" max="1" width="14.140625" style="47" bestFit="1" customWidth="1"/>
    <col min="2" max="2" width="24" style="47" bestFit="1" customWidth="1"/>
    <col min="3" max="3" width="25.140625" style="47" bestFit="1" customWidth="1"/>
    <col min="4" max="4" width="19.5703125" style="47" bestFit="1" customWidth="1"/>
    <col min="5" max="5" width="19.42578125" style="47" bestFit="1" customWidth="1"/>
    <col min="6" max="6" width="13.42578125" style="47" bestFit="1" customWidth="1"/>
    <col min="7" max="7" width="17" style="47" bestFit="1" customWidth="1"/>
    <col min="8" max="8" width="8.85546875" style="47" bestFit="1" customWidth="1"/>
    <col min="9" max="9" width="19" style="66" bestFit="1" customWidth="1"/>
    <col min="10" max="11" width="21.85546875" style="47" bestFit="1" customWidth="1"/>
    <col min="12" max="16384" width="9.140625" style="47"/>
  </cols>
  <sheetData>
    <row r="1" spans="1:12" s="46" customFormat="1" ht="15" customHeight="1" x14ac:dyDescent="0.25">
      <c r="A1" s="83" t="s">
        <v>34</v>
      </c>
      <c r="B1" s="83" t="s">
        <v>35</v>
      </c>
      <c r="C1" s="83" t="s">
        <v>20</v>
      </c>
      <c r="D1" s="83" t="s">
        <v>36</v>
      </c>
      <c r="E1" s="83" t="s">
        <v>37</v>
      </c>
      <c r="F1" s="83" t="s">
        <v>38</v>
      </c>
      <c r="G1" s="83" t="s">
        <v>39</v>
      </c>
      <c r="H1" s="83" t="s">
        <v>28</v>
      </c>
      <c r="I1" s="83" t="s">
        <v>40</v>
      </c>
      <c r="J1" s="82" t="s">
        <v>120</v>
      </c>
      <c r="K1" s="84" t="s">
        <v>119</v>
      </c>
      <c r="L1" s="100" t="s">
        <v>127</v>
      </c>
    </row>
    <row r="2" spans="1:12" ht="12" customHeight="1" x14ac:dyDescent="0.2">
      <c r="A2" s="45" t="s">
        <v>41</v>
      </c>
      <c r="B2" s="45" t="s">
        <v>44</v>
      </c>
      <c r="C2" s="45" t="s">
        <v>44</v>
      </c>
      <c r="D2" s="45" t="s">
        <v>48</v>
      </c>
      <c r="E2" s="45"/>
      <c r="F2" s="45"/>
      <c r="G2" s="45"/>
      <c r="H2" s="45"/>
      <c r="I2" s="45" t="s">
        <v>4</v>
      </c>
      <c r="J2" s="45"/>
      <c r="K2" s="45" t="s">
        <v>1</v>
      </c>
    </row>
    <row r="3" spans="1:12" ht="12" customHeight="1" x14ac:dyDescent="0.2">
      <c r="A3" s="45" t="s">
        <v>41</v>
      </c>
      <c r="B3" s="45" t="s">
        <v>210</v>
      </c>
      <c r="C3" s="45" t="s">
        <v>210</v>
      </c>
      <c r="D3" s="45" t="s">
        <v>48</v>
      </c>
      <c r="E3" s="45"/>
      <c r="F3" s="45"/>
      <c r="G3" s="45"/>
      <c r="H3" s="45"/>
      <c r="I3" s="45" t="s">
        <v>4</v>
      </c>
      <c r="J3" s="45"/>
      <c r="K3" s="45" t="s">
        <v>158</v>
      </c>
    </row>
    <row r="4" spans="1:12" ht="12" customHeight="1" x14ac:dyDescent="0.2">
      <c r="A4" s="45" t="s">
        <v>41</v>
      </c>
      <c r="B4" s="45" t="s">
        <v>204</v>
      </c>
      <c r="C4" s="45" t="s">
        <v>204</v>
      </c>
      <c r="D4" s="45" t="s">
        <v>48</v>
      </c>
      <c r="E4" s="45"/>
      <c r="F4" s="45"/>
      <c r="G4" s="45"/>
      <c r="H4" s="45"/>
      <c r="I4" s="45" t="s">
        <v>50</v>
      </c>
      <c r="J4" s="45"/>
      <c r="K4" s="45" t="s">
        <v>162</v>
      </c>
    </row>
    <row r="5" spans="1:12" ht="12" customHeight="1" x14ac:dyDescent="0.2">
      <c r="A5" s="45" t="s">
        <v>41</v>
      </c>
      <c r="B5" s="45" t="s">
        <v>176</v>
      </c>
      <c r="C5" s="45" t="s">
        <v>176</v>
      </c>
      <c r="D5" s="45" t="s">
        <v>48</v>
      </c>
      <c r="E5" s="45"/>
      <c r="F5" s="45"/>
      <c r="G5" s="45"/>
      <c r="H5" s="45"/>
      <c r="I5" s="45" t="s">
        <v>4</v>
      </c>
      <c r="J5" s="45"/>
      <c r="K5" s="45" t="s">
        <v>130</v>
      </c>
    </row>
    <row r="6" spans="1:12" ht="12" customHeight="1" x14ac:dyDescent="0.2">
      <c r="A6" s="45" t="s">
        <v>41</v>
      </c>
      <c r="B6" s="45" t="s">
        <v>272</v>
      </c>
      <c r="C6" s="45" t="s">
        <v>272</v>
      </c>
      <c r="D6" s="45" t="s">
        <v>48</v>
      </c>
      <c r="E6" s="45"/>
      <c r="F6" s="45"/>
      <c r="G6" s="45"/>
      <c r="H6" s="45"/>
      <c r="I6" s="45" t="s">
        <v>4</v>
      </c>
      <c r="J6" s="45"/>
      <c r="K6" s="45" t="s">
        <v>129</v>
      </c>
    </row>
    <row r="7" spans="1:12" ht="12" customHeight="1" x14ac:dyDescent="0.2">
      <c r="A7" s="45" t="s">
        <v>41</v>
      </c>
      <c r="B7" s="45" t="s">
        <v>417</v>
      </c>
      <c r="C7" s="45" t="s">
        <v>417</v>
      </c>
      <c r="D7" s="45" t="s">
        <v>48</v>
      </c>
      <c r="E7" s="45"/>
      <c r="F7" s="45"/>
      <c r="G7" s="45"/>
      <c r="H7" s="45"/>
      <c r="I7" s="45" t="s">
        <v>4</v>
      </c>
      <c r="J7" s="45"/>
      <c r="K7" s="45" t="s">
        <v>418</v>
      </c>
    </row>
    <row r="8" spans="1:12" ht="12" customHeight="1" x14ac:dyDescent="0.2">
      <c r="A8" s="45" t="s">
        <v>41</v>
      </c>
      <c r="B8" s="45" t="s">
        <v>412</v>
      </c>
      <c r="C8" s="45" t="s">
        <v>412</v>
      </c>
      <c r="D8" s="45" t="s">
        <v>48</v>
      </c>
      <c r="E8" s="45"/>
      <c r="F8" s="45"/>
      <c r="G8" s="45"/>
      <c r="H8" s="45"/>
      <c r="I8" s="45" t="s">
        <v>4</v>
      </c>
      <c r="J8" s="45"/>
      <c r="K8" s="45" t="s">
        <v>135</v>
      </c>
    </row>
    <row r="9" spans="1:12" ht="12" customHeight="1" x14ac:dyDescent="0.2">
      <c r="A9" s="45" t="s">
        <v>41</v>
      </c>
      <c r="B9" s="45" t="s">
        <v>280</v>
      </c>
      <c r="C9" s="45" t="s">
        <v>280</v>
      </c>
      <c r="D9" s="45" t="s">
        <v>48</v>
      </c>
      <c r="E9" s="45"/>
      <c r="F9" s="45"/>
      <c r="G9" s="45"/>
      <c r="H9" s="45"/>
      <c r="I9" s="45" t="s">
        <v>4</v>
      </c>
      <c r="J9" s="45"/>
      <c r="K9" s="45" t="s">
        <v>148</v>
      </c>
    </row>
    <row r="10" spans="1:12" ht="12" customHeight="1" x14ac:dyDescent="0.2">
      <c r="A10" s="45" t="s">
        <v>41</v>
      </c>
      <c r="B10" s="45" t="s">
        <v>421</v>
      </c>
      <c r="C10" s="45" t="s">
        <v>421</v>
      </c>
      <c r="D10" s="45" t="s">
        <v>48</v>
      </c>
      <c r="E10" s="45"/>
      <c r="F10" s="45"/>
      <c r="G10" s="45"/>
      <c r="H10" s="45"/>
      <c r="I10" s="45" t="s">
        <v>4</v>
      </c>
      <c r="J10" s="45"/>
      <c r="K10" s="45" t="s">
        <v>161</v>
      </c>
    </row>
    <row r="11" spans="1:12" ht="12" customHeight="1" x14ac:dyDescent="0.2">
      <c r="A11" s="45" t="s">
        <v>41</v>
      </c>
      <c r="B11" s="45" t="s">
        <v>411</v>
      </c>
      <c r="C11" s="45" t="s">
        <v>411</v>
      </c>
      <c r="D11" s="45" t="s">
        <v>48</v>
      </c>
      <c r="E11" s="45"/>
      <c r="F11" s="45"/>
      <c r="G11" s="45"/>
      <c r="H11" s="45"/>
      <c r="I11" s="45" t="s">
        <v>4</v>
      </c>
      <c r="J11" s="45"/>
      <c r="K11" s="45" t="s">
        <v>134</v>
      </c>
    </row>
    <row r="12" spans="1:12" ht="12" customHeight="1" x14ac:dyDescent="0.2">
      <c r="A12" s="45" t="s">
        <v>41</v>
      </c>
      <c r="B12" s="45" t="s">
        <v>306</v>
      </c>
      <c r="C12" s="45" t="s">
        <v>306</v>
      </c>
      <c r="D12" s="45" t="s">
        <v>48</v>
      </c>
      <c r="E12" s="45"/>
      <c r="F12" s="45"/>
      <c r="G12" s="45"/>
      <c r="H12" s="45"/>
      <c r="I12" s="45" t="s">
        <v>4</v>
      </c>
      <c r="J12" s="45"/>
      <c r="K12" s="45" t="s">
        <v>131</v>
      </c>
    </row>
    <row r="13" spans="1:12" ht="12" customHeight="1" x14ac:dyDescent="0.2">
      <c r="A13" s="45" t="s">
        <v>41</v>
      </c>
      <c r="B13" s="45" t="s">
        <v>197</v>
      </c>
      <c r="C13" s="45" t="s">
        <v>197</v>
      </c>
      <c r="D13" s="45" t="s">
        <v>48</v>
      </c>
      <c r="E13" s="45"/>
      <c r="F13" s="45"/>
      <c r="G13" s="45"/>
      <c r="H13" s="45"/>
      <c r="I13" s="45" t="s">
        <v>4</v>
      </c>
      <c r="J13" s="45"/>
      <c r="K13" s="45" t="s">
        <v>133</v>
      </c>
    </row>
    <row r="14" spans="1:12" ht="12" customHeight="1" x14ac:dyDescent="0.2">
      <c r="A14" s="45" t="s">
        <v>41</v>
      </c>
      <c r="B14" s="45" t="s">
        <v>419</v>
      </c>
      <c r="C14" s="45" t="s">
        <v>419</v>
      </c>
      <c r="D14" s="45" t="s">
        <v>48</v>
      </c>
      <c r="E14" s="45"/>
      <c r="F14" s="45"/>
      <c r="G14" s="45"/>
      <c r="H14" s="45"/>
      <c r="I14" s="45" t="s">
        <v>4</v>
      </c>
      <c r="J14" s="45"/>
      <c r="K14" s="45" t="s">
        <v>420</v>
      </c>
    </row>
    <row r="15" spans="1:12" ht="12" customHeight="1" x14ac:dyDescent="0.2">
      <c r="A15" s="45" t="s">
        <v>41</v>
      </c>
      <c r="B15" s="45" t="s">
        <v>45</v>
      </c>
      <c r="C15" s="45" t="s">
        <v>45</v>
      </c>
      <c r="D15" s="45" t="s">
        <v>48</v>
      </c>
      <c r="E15" s="45"/>
      <c r="F15" s="45"/>
      <c r="G15" s="45"/>
      <c r="H15" s="45"/>
      <c r="I15" s="45" t="s">
        <v>4</v>
      </c>
      <c r="J15" s="45"/>
      <c r="K15" s="45" t="s">
        <v>2</v>
      </c>
    </row>
    <row r="16" spans="1:12" ht="12" customHeight="1" x14ac:dyDescent="0.2">
      <c r="A16" s="45" t="s">
        <v>41</v>
      </c>
      <c r="B16" s="45" t="s">
        <v>206</v>
      </c>
      <c r="C16" s="45" t="s">
        <v>206</v>
      </c>
      <c r="D16" s="45" t="s">
        <v>48</v>
      </c>
      <c r="E16" s="45"/>
      <c r="F16" s="45"/>
      <c r="G16" s="45"/>
      <c r="H16" s="45"/>
      <c r="I16" s="45" t="s">
        <v>4</v>
      </c>
      <c r="J16" s="45"/>
      <c r="K16" s="45" t="s">
        <v>132</v>
      </c>
    </row>
    <row r="17" spans="1:11" ht="12" customHeight="1" x14ac:dyDescent="0.2">
      <c r="A17" s="45" t="s">
        <v>47</v>
      </c>
      <c r="B17" s="45" t="s">
        <v>413</v>
      </c>
      <c r="C17" s="45" t="s">
        <v>413</v>
      </c>
      <c r="D17" s="45" t="s">
        <v>406</v>
      </c>
      <c r="E17" s="45"/>
      <c r="F17" s="45"/>
      <c r="G17" s="45"/>
      <c r="H17" s="45"/>
      <c r="I17" s="45" t="s">
        <v>50</v>
      </c>
      <c r="J17" s="45"/>
      <c r="K17" s="45" t="s">
        <v>414</v>
      </c>
    </row>
    <row r="18" spans="1:11" ht="12" customHeight="1" x14ac:dyDescent="0.2">
      <c r="A18" s="45" t="s">
        <v>47</v>
      </c>
      <c r="B18" s="45" t="s">
        <v>415</v>
      </c>
      <c r="C18" s="45" t="s">
        <v>415</v>
      </c>
      <c r="D18" s="45" t="s">
        <v>406</v>
      </c>
      <c r="E18" s="45"/>
      <c r="F18" s="45"/>
      <c r="G18" s="45"/>
      <c r="H18" s="45"/>
      <c r="I18" s="45" t="s">
        <v>4</v>
      </c>
      <c r="J18" s="45"/>
      <c r="K18" s="45" t="s">
        <v>416</v>
      </c>
    </row>
    <row r="19" spans="1:11" ht="12" customHeight="1" x14ac:dyDescent="0.2">
      <c r="A19" s="45" t="s">
        <v>47</v>
      </c>
      <c r="B19" s="45" t="s">
        <v>405</v>
      </c>
      <c r="C19" s="45" t="s">
        <v>405</v>
      </c>
      <c r="D19" s="45" t="s">
        <v>406</v>
      </c>
      <c r="E19" s="45"/>
      <c r="F19" s="45"/>
      <c r="G19" s="45"/>
      <c r="H19" s="45"/>
      <c r="I19" s="45" t="s">
        <v>4</v>
      </c>
      <c r="J19" s="45"/>
      <c r="K19" s="45" t="s">
        <v>407</v>
      </c>
    </row>
    <row r="20" spans="1:11" ht="12" customHeight="1" x14ac:dyDescent="0.2">
      <c r="A20" s="45" t="s">
        <v>47</v>
      </c>
      <c r="B20" s="45" t="s">
        <v>401</v>
      </c>
      <c r="C20" s="45" t="s">
        <v>401</v>
      </c>
      <c r="D20" s="45" t="s">
        <v>400</v>
      </c>
      <c r="E20" s="45"/>
      <c r="F20" s="45"/>
      <c r="G20" s="45"/>
      <c r="H20" s="45"/>
      <c r="I20" s="45" t="s">
        <v>4</v>
      </c>
      <c r="J20" s="45"/>
      <c r="K20" s="45" t="s">
        <v>402</v>
      </c>
    </row>
    <row r="21" spans="1:11" ht="12" customHeight="1" x14ac:dyDescent="0.2">
      <c r="A21" s="45" t="s">
        <v>47</v>
      </c>
      <c r="B21" s="45" t="s">
        <v>399</v>
      </c>
      <c r="C21" s="45" t="s">
        <v>399</v>
      </c>
      <c r="D21" s="45" t="s">
        <v>400</v>
      </c>
      <c r="E21" s="45"/>
      <c r="F21" s="45"/>
      <c r="G21" s="45"/>
      <c r="H21" s="45"/>
      <c r="I21" s="45" t="s">
        <v>4</v>
      </c>
      <c r="J21" s="45"/>
      <c r="K21" s="45" t="s">
        <v>136</v>
      </c>
    </row>
    <row r="22" spans="1:11" ht="12" customHeight="1" x14ac:dyDescent="0.2">
      <c r="A22" s="45" t="s">
        <v>47</v>
      </c>
      <c r="B22" s="45" t="s">
        <v>403</v>
      </c>
      <c r="C22" s="45" t="s">
        <v>403</v>
      </c>
      <c r="D22" s="45" t="s">
        <v>400</v>
      </c>
      <c r="E22" s="45"/>
      <c r="F22" s="45"/>
      <c r="G22" s="45"/>
      <c r="H22" s="45"/>
      <c r="I22" s="45" t="s">
        <v>4</v>
      </c>
      <c r="J22" s="45"/>
      <c r="K22" s="45" t="s">
        <v>404</v>
      </c>
    </row>
    <row r="23" spans="1:11" ht="12" customHeight="1" x14ac:dyDescent="0.2">
      <c r="A23" s="45" t="s">
        <v>47</v>
      </c>
      <c r="B23" s="45" t="s">
        <v>408</v>
      </c>
      <c r="C23" s="45" t="s">
        <v>408</v>
      </c>
      <c r="D23" s="45" t="s">
        <v>46</v>
      </c>
      <c r="E23" s="45"/>
      <c r="F23" s="45"/>
      <c r="G23" s="45"/>
      <c r="H23" s="45"/>
      <c r="I23" s="45" t="s">
        <v>4</v>
      </c>
      <c r="J23" s="45"/>
      <c r="K23" s="45" t="s">
        <v>163</v>
      </c>
    </row>
    <row r="24" spans="1:11" ht="12" customHeight="1" x14ac:dyDescent="0.2">
      <c r="A24" s="45" t="s">
        <v>47</v>
      </c>
      <c r="B24" s="45" t="s">
        <v>409</v>
      </c>
      <c r="C24" s="45" t="s">
        <v>409</v>
      </c>
      <c r="D24" s="45" t="s">
        <v>46</v>
      </c>
      <c r="E24" s="45"/>
      <c r="F24" s="45"/>
      <c r="G24" s="45"/>
      <c r="H24" s="45"/>
      <c r="I24" s="45" t="s">
        <v>4</v>
      </c>
      <c r="J24" s="45"/>
      <c r="K24" s="45" t="s">
        <v>164</v>
      </c>
    </row>
    <row r="25" spans="1:11" ht="12" customHeight="1" x14ac:dyDescent="0.2">
      <c r="I25" s="47"/>
    </row>
    <row r="26" spans="1:11" ht="12" customHeight="1" x14ac:dyDescent="0.2">
      <c r="I26" s="47"/>
    </row>
    <row r="27" spans="1:11" ht="12" customHeight="1" x14ac:dyDescent="0.2">
      <c r="I27" s="47"/>
    </row>
    <row r="28" spans="1:11" ht="12" customHeight="1" x14ac:dyDescent="0.2">
      <c r="I28" s="47"/>
    </row>
    <row r="29" spans="1:11" ht="12" customHeight="1" x14ac:dyDescent="0.2">
      <c r="I29" s="47"/>
    </row>
    <row r="30" spans="1:11" ht="12" customHeight="1" x14ac:dyDescent="0.2">
      <c r="I30" s="47"/>
    </row>
    <row r="31" spans="1:11" ht="12" customHeight="1" x14ac:dyDescent="0.2">
      <c r="I31" s="47"/>
    </row>
    <row r="32" spans="1:11" ht="12" customHeight="1" x14ac:dyDescent="0.2">
      <c r="I32" s="47"/>
    </row>
  </sheetData>
  <autoFilter ref="A1:J1"/>
  <sortState ref="A3:K24">
    <sortCondition ref="A1"/>
    <sortCondition ref="B1"/>
  </sortState>
  <pageMargins left="0.7" right="0.7" top="0.75" bottom="0.75" header="0.3" footer="0.3"/>
  <pageSetup paperSize="9" scale="61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R491"/>
  <sheetViews>
    <sheetView workbookViewId="0">
      <pane xSplit="2" ySplit="2" topLeftCell="C363" activePane="bottomRight" state="frozen"/>
      <selection pane="topRight" activeCell="C1" sqref="C1"/>
      <selection pane="bottomLeft" activeCell="A3" sqref="A3"/>
      <selection pane="bottomRight" activeCell="J12" sqref="A12:XFD480"/>
    </sheetView>
  </sheetViews>
  <sheetFormatPr defaultRowHeight="11.25" x14ac:dyDescent="0.25"/>
  <cols>
    <col min="1" max="1" width="20.42578125" style="39" bestFit="1" customWidth="1"/>
    <col min="2" max="2" width="24.140625" style="39" customWidth="1"/>
    <col min="3" max="3" width="22.7109375" style="39" customWidth="1"/>
    <col min="4" max="4" width="32.28515625" style="39" customWidth="1"/>
    <col min="5" max="5" width="16.5703125" style="39" customWidth="1"/>
    <col min="6" max="6" width="12.85546875" style="39" bestFit="1" customWidth="1"/>
    <col min="7" max="7" width="12.85546875" style="39" customWidth="1"/>
    <col min="8" max="8" width="10.5703125" style="144" bestFit="1" customWidth="1"/>
    <col min="9" max="9" width="12.7109375" style="39" bestFit="1" customWidth="1"/>
    <col min="10" max="10" width="8.42578125" style="39" bestFit="1" customWidth="1"/>
    <col min="11" max="11" width="8.5703125" style="39" bestFit="1" customWidth="1"/>
    <col min="12" max="12" width="5.5703125" style="144" bestFit="1" customWidth="1"/>
    <col min="13" max="13" width="11.7109375" style="39" bestFit="1" customWidth="1"/>
    <col min="14" max="14" width="11.7109375" style="144" bestFit="1" customWidth="1"/>
    <col min="15" max="15" width="9.140625" style="144" bestFit="1" customWidth="1"/>
    <col min="16" max="16" width="42.140625" style="39" bestFit="1" customWidth="1"/>
    <col min="17" max="17" width="17.85546875" style="39" customWidth="1"/>
    <col min="18" max="16384" width="9.140625" style="39"/>
  </cols>
  <sheetData>
    <row r="1" spans="1:18" s="38" customFormat="1" ht="12.75" customHeight="1" x14ac:dyDescent="0.25">
      <c r="A1" s="70"/>
      <c r="B1" s="71"/>
      <c r="C1" s="71"/>
      <c r="D1" s="71"/>
      <c r="E1" s="71"/>
      <c r="F1" s="72"/>
      <c r="G1" s="72"/>
      <c r="H1" s="73"/>
      <c r="I1" s="149" t="s">
        <v>18</v>
      </c>
      <c r="J1" s="150"/>
      <c r="K1" s="150"/>
      <c r="L1" s="150"/>
      <c r="M1" s="150"/>
      <c r="N1" s="150"/>
      <c r="O1" s="150"/>
      <c r="P1" s="150"/>
      <c r="Q1" s="77"/>
    </row>
    <row r="2" spans="1:18" s="46" customFormat="1" x14ac:dyDescent="0.25">
      <c r="A2" s="74" t="s">
        <v>35</v>
      </c>
      <c r="B2" s="55" t="s">
        <v>19</v>
      </c>
      <c r="C2" s="55" t="s">
        <v>20</v>
      </c>
      <c r="D2" s="55" t="s">
        <v>21</v>
      </c>
      <c r="E2" s="55" t="s">
        <v>22</v>
      </c>
      <c r="F2" s="55" t="s">
        <v>25</v>
      </c>
      <c r="G2" s="55" t="s">
        <v>26</v>
      </c>
      <c r="H2" s="75" t="s">
        <v>114</v>
      </c>
      <c r="I2" s="68" t="s">
        <v>27</v>
      </c>
      <c r="J2" s="56" t="s">
        <v>28</v>
      </c>
      <c r="K2" s="56" t="s">
        <v>29</v>
      </c>
      <c r="L2" s="56" t="s">
        <v>32</v>
      </c>
      <c r="M2" s="55" t="s">
        <v>33</v>
      </c>
      <c r="N2" s="56" t="s">
        <v>104</v>
      </c>
      <c r="O2" s="56" t="s">
        <v>30</v>
      </c>
      <c r="P2" s="76" t="s">
        <v>31</v>
      </c>
      <c r="Q2" s="81" t="s">
        <v>118</v>
      </c>
    </row>
    <row r="3" spans="1:18" s="46" customFormat="1" x14ac:dyDescent="0.25">
      <c r="A3" s="69" t="s">
        <v>176</v>
      </c>
      <c r="B3" s="97" t="s">
        <v>177</v>
      </c>
      <c r="C3" s="97" t="s">
        <v>177</v>
      </c>
      <c r="D3" s="93" t="s">
        <v>178</v>
      </c>
      <c r="E3" s="97"/>
      <c r="F3" s="93"/>
      <c r="G3" s="93" t="s">
        <v>179</v>
      </c>
      <c r="H3" s="94"/>
      <c r="I3" s="98"/>
      <c r="J3" s="95"/>
      <c r="K3" s="95" t="s">
        <v>107</v>
      </c>
      <c r="L3" s="95"/>
      <c r="M3" s="93"/>
      <c r="N3" s="95" t="s">
        <v>180</v>
      </c>
      <c r="O3" s="95"/>
      <c r="P3" s="99" t="s">
        <v>4</v>
      </c>
      <c r="Q3" s="96"/>
      <c r="R3" s="46" t="s">
        <v>181</v>
      </c>
    </row>
    <row r="4" spans="1:18" x14ac:dyDescent="0.25">
      <c r="A4" s="39" t="s">
        <v>176</v>
      </c>
      <c r="B4" s="39" t="s">
        <v>105</v>
      </c>
      <c r="C4" s="39" t="s">
        <v>105</v>
      </c>
      <c r="D4" s="39" t="s">
        <v>182</v>
      </c>
      <c r="G4" s="39" t="s">
        <v>179</v>
      </c>
      <c r="K4" s="39" t="s">
        <v>85</v>
      </c>
      <c r="L4" s="144">
        <v>255</v>
      </c>
      <c r="P4" s="39" t="s">
        <v>4</v>
      </c>
    </row>
    <row r="5" spans="1:18" x14ac:dyDescent="0.25">
      <c r="A5" s="39" t="s">
        <v>176</v>
      </c>
      <c r="B5" s="39" t="s">
        <v>183</v>
      </c>
      <c r="C5" s="39" t="s">
        <v>183</v>
      </c>
      <c r="K5" s="39" t="s">
        <v>107</v>
      </c>
      <c r="N5" s="144" t="s">
        <v>108</v>
      </c>
      <c r="O5" s="144" t="s">
        <v>184</v>
      </c>
      <c r="P5" s="39" t="s">
        <v>4</v>
      </c>
    </row>
    <row r="6" spans="1:18" x14ac:dyDescent="0.25">
      <c r="A6" s="39" t="s">
        <v>176</v>
      </c>
      <c r="B6" s="39" t="s">
        <v>185</v>
      </c>
      <c r="C6" s="39" t="s">
        <v>185</v>
      </c>
      <c r="K6" s="39" t="s">
        <v>107</v>
      </c>
      <c r="N6" s="144" t="s">
        <v>108</v>
      </c>
      <c r="O6" s="144" t="s">
        <v>186</v>
      </c>
      <c r="P6" s="39" t="s">
        <v>4</v>
      </c>
    </row>
    <row r="7" spans="1:18" x14ac:dyDescent="0.25">
      <c r="A7" s="39" t="s">
        <v>176</v>
      </c>
      <c r="B7" s="39" t="s">
        <v>122</v>
      </c>
      <c r="C7" s="39" t="s">
        <v>122</v>
      </c>
      <c r="K7" s="39" t="s">
        <v>107</v>
      </c>
      <c r="N7" s="144" t="s">
        <v>108</v>
      </c>
      <c r="O7" s="144" t="s">
        <v>7</v>
      </c>
      <c r="P7" s="39" t="s">
        <v>4</v>
      </c>
    </row>
    <row r="8" spans="1:18" x14ac:dyDescent="0.25">
      <c r="A8" s="39" t="s">
        <v>176</v>
      </c>
      <c r="B8" s="39" t="s">
        <v>187</v>
      </c>
      <c r="C8" s="39" t="s">
        <v>187</v>
      </c>
      <c r="K8" s="39" t="s">
        <v>107</v>
      </c>
      <c r="N8" s="144" t="s">
        <v>108</v>
      </c>
      <c r="O8" s="144" t="s">
        <v>188</v>
      </c>
      <c r="P8" s="39" t="s">
        <v>4</v>
      </c>
    </row>
    <row r="9" spans="1:18" x14ac:dyDescent="0.25">
      <c r="A9" s="39" t="s">
        <v>176</v>
      </c>
      <c r="B9" s="39" t="s">
        <v>189</v>
      </c>
      <c r="C9" s="39" t="s">
        <v>189</v>
      </c>
      <c r="K9" s="39" t="s">
        <v>107</v>
      </c>
      <c r="N9" s="144" t="s">
        <v>108</v>
      </c>
      <c r="O9" s="144" t="s">
        <v>190</v>
      </c>
      <c r="P9" s="39" t="s">
        <v>4</v>
      </c>
    </row>
    <row r="10" spans="1:18" x14ac:dyDescent="0.25">
      <c r="A10" s="39" t="s">
        <v>176</v>
      </c>
      <c r="B10" s="39" t="s">
        <v>191</v>
      </c>
      <c r="C10" s="39" t="s">
        <v>191</v>
      </c>
      <c r="K10" s="39" t="s">
        <v>107</v>
      </c>
      <c r="N10" s="144" t="s">
        <v>108</v>
      </c>
      <c r="O10" s="144" t="s">
        <v>192</v>
      </c>
      <c r="P10" s="39" t="s">
        <v>4</v>
      </c>
    </row>
    <row r="11" spans="1:18" x14ac:dyDescent="0.25">
      <c r="A11" s="39" t="s">
        <v>176</v>
      </c>
      <c r="B11" s="39" t="s">
        <v>193</v>
      </c>
      <c r="C11" s="39" t="s">
        <v>193</v>
      </c>
      <c r="K11" s="39" t="s">
        <v>194</v>
      </c>
      <c r="L11" s="144">
        <v>20</v>
      </c>
    </row>
    <row r="12" spans="1:18" x14ac:dyDescent="0.25">
      <c r="A12" s="39" t="s">
        <v>176</v>
      </c>
      <c r="B12" s="39" t="s">
        <v>195</v>
      </c>
      <c r="C12" s="39" t="s">
        <v>195</v>
      </c>
      <c r="K12" s="39" t="s">
        <v>123</v>
      </c>
      <c r="L12" s="144">
        <v>18</v>
      </c>
      <c r="M12" s="39">
        <v>2</v>
      </c>
    </row>
    <row r="13" spans="1:18" x14ac:dyDescent="0.25">
      <c r="A13" s="39" t="s">
        <v>176</v>
      </c>
      <c r="B13" s="39" t="s">
        <v>146</v>
      </c>
      <c r="C13" s="39" t="s">
        <v>146</v>
      </c>
      <c r="K13" s="39" t="s">
        <v>123</v>
      </c>
      <c r="L13" s="144">
        <v>18</v>
      </c>
      <c r="M13" s="39">
        <v>2</v>
      </c>
    </row>
    <row r="14" spans="1:18" x14ac:dyDescent="0.25">
      <c r="A14" s="39" t="s">
        <v>176</v>
      </c>
      <c r="B14" s="39" t="s">
        <v>196</v>
      </c>
      <c r="C14" s="39" t="s">
        <v>196</v>
      </c>
      <c r="K14" s="39" t="s">
        <v>123</v>
      </c>
      <c r="L14" s="144">
        <v>18</v>
      </c>
      <c r="M14" s="39">
        <v>2</v>
      </c>
    </row>
    <row r="15" spans="1:18" x14ac:dyDescent="0.25">
      <c r="A15" s="39" t="s">
        <v>176</v>
      </c>
      <c r="B15" s="39" t="s">
        <v>87</v>
      </c>
      <c r="C15" s="39" t="s">
        <v>87</v>
      </c>
      <c r="E15" s="39" t="s">
        <v>84</v>
      </c>
      <c r="G15" s="39">
        <v>2</v>
      </c>
      <c r="K15" s="39" t="s">
        <v>88</v>
      </c>
      <c r="P15" s="39" t="s">
        <v>4</v>
      </c>
    </row>
    <row r="16" spans="1:18" x14ac:dyDescent="0.25">
      <c r="A16" s="39" t="s">
        <v>176</v>
      </c>
      <c r="B16" s="39" t="s">
        <v>89</v>
      </c>
      <c r="C16" s="39" t="s">
        <v>89</v>
      </c>
      <c r="E16" s="39" t="s">
        <v>84</v>
      </c>
      <c r="G16" s="39">
        <v>2</v>
      </c>
      <c r="K16" s="39" t="s">
        <v>88</v>
      </c>
      <c r="P16" s="39" t="s">
        <v>4</v>
      </c>
      <c r="R16" s="39" t="s">
        <v>181</v>
      </c>
    </row>
    <row r="17" spans="1:18" x14ac:dyDescent="0.25">
      <c r="A17" s="39" t="s">
        <v>176</v>
      </c>
      <c r="B17" s="39" t="s">
        <v>90</v>
      </c>
      <c r="C17" s="39" t="s">
        <v>90</v>
      </c>
      <c r="E17" s="39" t="s">
        <v>84</v>
      </c>
      <c r="G17" s="39">
        <v>2</v>
      </c>
      <c r="K17" s="39" t="s">
        <v>85</v>
      </c>
      <c r="L17" s="144">
        <v>255</v>
      </c>
      <c r="P17" s="39" t="s">
        <v>4</v>
      </c>
      <c r="Q17" s="39" t="s">
        <v>91</v>
      </c>
      <c r="R17" s="39" t="s">
        <v>181</v>
      </c>
    </row>
    <row r="18" spans="1:18" x14ac:dyDescent="0.25">
      <c r="A18" s="39" t="s">
        <v>176</v>
      </c>
      <c r="B18" s="39" t="s">
        <v>92</v>
      </c>
      <c r="C18" s="39" t="s">
        <v>92</v>
      </c>
      <c r="E18" s="39" t="s">
        <v>84</v>
      </c>
      <c r="G18" s="39">
        <v>2</v>
      </c>
      <c r="K18" s="39" t="s">
        <v>93</v>
      </c>
      <c r="P18" s="39" t="s">
        <v>4</v>
      </c>
      <c r="Q18" s="39" t="s">
        <v>94</v>
      </c>
      <c r="R18" s="39" t="s">
        <v>181</v>
      </c>
    </row>
    <row r="19" spans="1:18" x14ac:dyDescent="0.25">
      <c r="A19" s="39" t="s">
        <v>176</v>
      </c>
      <c r="B19" s="39" t="s">
        <v>95</v>
      </c>
      <c r="C19" s="39" t="s">
        <v>95</v>
      </c>
      <c r="E19" s="39" t="s">
        <v>84</v>
      </c>
      <c r="G19" s="39">
        <v>2</v>
      </c>
      <c r="K19" s="39" t="s">
        <v>85</v>
      </c>
      <c r="L19" s="144">
        <v>255</v>
      </c>
      <c r="P19" s="39" t="s">
        <v>4</v>
      </c>
      <c r="Q19" s="39" t="s">
        <v>91</v>
      </c>
      <c r="R19" s="39" t="s">
        <v>181</v>
      </c>
    </row>
    <row r="20" spans="1:18" x14ac:dyDescent="0.25">
      <c r="A20" s="39" t="s">
        <v>176</v>
      </c>
      <c r="B20" s="39" t="s">
        <v>96</v>
      </c>
      <c r="C20" s="39" t="s">
        <v>96</v>
      </c>
      <c r="E20" s="39" t="s">
        <v>84</v>
      </c>
      <c r="G20" s="39">
        <v>2</v>
      </c>
      <c r="K20" s="39" t="s">
        <v>93</v>
      </c>
      <c r="P20" s="39" t="s">
        <v>4</v>
      </c>
      <c r="Q20" s="39" t="s">
        <v>94</v>
      </c>
      <c r="R20" s="39" t="s">
        <v>181</v>
      </c>
    </row>
    <row r="21" spans="1:18" s="145" customFormat="1" x14ac:dyDescent="0.25">
      <c r="A21" s="145" t="s">
        <v>197</v>
      </c>
      <c r="B21" s="145" t="s">
        <v>198</v>
      </c>
      <c r="C21" s="145" t="s">
        <v>198</v>
      </c>
      <c r="D21" s="145" t="s">
        <v>178</v>
      </c>
      <c r="G21" s="145" t="s">
        <v>179</v>
      </c>
      <c r="H21" s="146"/>
      <c r="K21" s="145" t="s">
        <v>107</v>
      </c>
      <c r="L21" s="146"/>
      <c r="N21" s="146" t="s">
        <v>180</v>
      </c>
      <c r="O21" s="146"/>
      <c r="P21" s="145" t="s">
        <v>4</v>
      </c>
      <c r="R21" s="145" t="s">
        <v>181</v>
      </c>
    </row>
    <row r="22" spans="1:18" x14ac:dyDescent="0.25">
      <c r="A22" s="39" t="s">
        <v>197</v>
      </c>
      <c r="B22" s="39" t="s">
        <v>105</v>
      </c>
      <c r="C22" s="39" t="s">
        <v>105</v>
      </c>
      <c r="D22" s="39" t="s">
        <v>182</v>
      </c>
      <c r="G22" s="39" t="s">
        <v>179</v>
      </c>
      <c r="K22" s="39" t="s">
        <v>85</v>
      </c>
      <c r="L22" s="144">
        <v>255</v>
      </c>
      <c r="P22" s="39" t="s">
        <v>4</v>
      </c>
    </row>
    <row r="23" spans="1:18" x14ac:dyDescent="0.25">
      <c r="A23" s="39" t="s">
        <v>197</v>
      </c>
      <c r="B23" s="39" t="s">
        <v>199</v>
      </c>
      <c r="C23" s="39" t="s">
        <v>199</v>
      </c>
      <c r="K23" s="39" t="s">
        <v>107</v>
      </c>
      <c r="N23" s="144" t="s">
        <v>108</v>
      </c>
      <c r="O23" s="144" t="s">
        <v>200</v>
      </c>
      <c r="P23" s="39" t="s">
        <v>4</v>
      </c>
    </row>
    <row r="24" spans="1:18" x14ac:dyDescent="0.25">
      <c r="A24" s="39" t="s">
        <v>197</v>
      </c>
      <c r="B24" s="39" t="s">
        <v>201</v>
      </c>
      <c r="C24" s="39" t="s">
        <v>201</v>
      </c>
      <c r="K24" s="39" t="s">
        <v>107</v>
      </c>
      <c r="N24" s="144" t="s">
        <v>108</v>
      </c>
      <c r="O24" s="144" t="s">
        <v>202</v>
      </c>
      <c r="P24" s="39" t="s">
        <v>4</v>
      </c>
    </row>
    <row r="25" spans="1:18" x14ac:dyDescent="0.25">
      <c r="A25" s="39" t="s">
        <v>197</v>
      </c>
      <c r="B25" s="39" t="s">
        <v>203</v>
      </c>
      <c r="C25" s="39" t="s">
        <v>203</v>
      </c>
      <c r="K25" s="39" t="s">
        <v>107</v>
      </c>
      <c r="N25" s="144" t="s">
        <v>108</v>
      </c>
      <c r="O25" s="144" t="s">
        <v>204</v>
      </c>
      <c r="P25" s="39" t="s">
        <v>4</v>
      </c>
    </row>
    <row r="26" spans="1:18" x14ac:dyDescent="0.25">
      <c r="A26" s="39" t="s">
        <v>197</v>
      </c>
      <c r="B26" s="39" t="s">
        <v>205</v>
      </c>
      <c r="C26" s="39" t="s">
        <v>205</v>
      </c>
      <c r="K26" s="39" t="s">
        <v>107</v>
      </c>
      <c r="N26" s="144" t="s">
        <v>108</v>
      </c>
      <c r="O26" s="144" t="s">
        <v>206</v>
      </c>
      <c r="P26" s="39" t="s">
        <v>4</v>
      </c>
    </row>
    <row r="27" spans="1:18" x14ac:dyDescent="0.25">
      <c r="A27" s="39" t="s">
        <v>197</v>
      </c>
      <c r="B27" s="39" t="s">
        <v>207</v>
      </c>
      <c r="C27" s="39" t="s">
        <v>207</v>
      </c>
      <c r="K27" s="39" t="s">
        <v>107</v>
      </c>
      <c r="N27" s="144" t="s">
        <v>108</v>
      </c>
      <c r="O27" s="144" t="s">
        <v>206</v>
      </c>
      <c r="P27" s="39" t="s">
        <v>4</v>
      </c>
    </row>
    <row r="28" spans="1:18" x14ac:dyDescent="0.25">
      <c r="A28" s="39" t="s">
        <v>197</v>
      </c>
      <c r="B28" s="39" t="s">
        <v>208</v>
      </c>
      <c r="C28" s="39" t="s">
        <v>208</v>
      </c>
      <c r="K28" s="39" t="s">
        <v>107</v>
      </c>
      <c r="N28" s="144" t="s">
        <v>108</v>
      </c>
      <c r="O28" s="144" t="s">
        <v>206</v>
      </c>
      <c r="P28" s="39" t="s">
        <v>4</v>
      </c>
    </row>
    <row r="29" spans="1:18" x14ac:dyDescent="0.25">
      <c r="A29" s="39" t="s">
        <v>197</v>
      </c>
      <c r="B29" s="39" t="s">
        <v>209</v>
      </c>
      <c r="C29" s="39" t="s">
        <v>209</v>
      </c>
      <c r="K29" s="39" t="s">
        <v>107</v>
      </c>
      <c r="N29" s="144" t="s">
        <v>108</v>
      </c>
      <c r="O29" s="144" t="s">
        <v>210</v>
      </c>
      <c r="P29" s="39" t="s">
        <v>4</v>
      </c>
    </row>
    <row r="30" spans="1:18" x14ac:dyDescent="0.25">
      <c r="A30" s="39" t="s">
        <v>197</v>
      </c>
      <c r="B30" s="39" t="s">
        <v>211</v>
      </c>
      <c r="C30" s="39" t="s">
        <v>211</v>
      </c>
      <c r="K30" s="39" t="s">
        <v>107</v>
      </c>
      <c r="N30" s="144" t="s">
        <v>108</v>
      </c>
      <c r="O30" s="144" t="s">
        <v>212</v>
      </c>
      <c r="P30" s="39" t="s">
        <v>4</v>
      </c>
    </row>
    <row r="31" spans="1:18" x14ac:dyDescent="0.25">
      <c r="A31" s="39" t="s">
        <v>197</v>
      </c>
      <c r="B31" s="39" t="s">
        <v>185</v>
      </c>
      <c r="C31" s="39" t="s">
        <v>185</v>
      </c>
      <c r="K31" s="39" t="s">
        <v>107</v>
      </c>
      <c r="N31" s="144" t="s">
        <v>108</v>
      </c>
      <c r="O31" s="144" t="s">
        <v>186</v>
      </c>
      <c r="P31" s="39" t="s">
        <v>4</v>
      </c>
    </row>
    <row r="32" spans="1:18" x14ac:dyDescent="0.25">
      <c r="A32" s="39" t="s">
        <v>197</v>
      </c>
      <c r="B32" s="39" t="s">
        <v>213</v>
      </c>
      <c r="C32" s="39" t="s">
        <v>213</v>
      </c>
      <c r="K32" s="39" t="s">
        <v>107</v>
      </c>
      <c r="N32" s="144" t="s">
        <v>108</v>
      </c>
      <c r="O32" s="144" t="s">
        <v>214</v>
      </c>
      <c r="P32" s="39" t="s">
        <v>4</v>
      </c>
    </row>
    <row r="33" spans="1:16" x14ac:dyDescent="0.25">
      <c r="A33" s="39" t="s">
        <v>197</v>
      </c>
      <c r="B33" s="39" t="s">
        <v>215</v>
      </c>
      <c r="C33" s="39" t="s">
        <v>215</v>
      </c>
      <c r="K33" s="39" t="s">
        <v>107</v>
      </c>
      <c r="N33" s="144" t="s">
        <v>108</v>
      </c>
      <c r="O33" s="144" t="s">
        <v>216</v>
      </c>
      <c r="P33" s="39" t="s">
        <v>4</v>
      </c>
    </row>
    <row r="34" spans="1:16" x14ac:dyDescent="0.25">
      <c r="A34" s="39" t="s">
        <v>197</v>
      </c>
      <c r="B34" s="39" t="s">
        <v>217</v>
      </c>
      <c r="C34" s="39" t="s">
        <v>217</v>
      </c>
      <c r="K34" s="39" t="s">
        <v>107</v>
      </c>
      <c r="N34" s="144" t="s">
        <v>108</v>
      </c>
      <c r="O34" s="144" t="s">
        <v>218</v>
      </c>
      <c r="P34" s="39" t="s">
        <v>4</v>
      </c>
    </row>
    <row r="35" spans="1:16" x14ac:dyDescent="0.25">
      <c r="A35" s="39" t="s">
        <v>197</v>
      </c>
      <c r="B35" s="39" t="s">
        <v>219</v>
      </c>
      <c r="C35" s="39" t="s">
        <v>219</v>
      </c>
      <c r="K35" s="39" t="s">
        <v>107</v>
      </c>
      <c r="N35" s="144" t="s">
        <v>108</v>
      </c>
      <c r="O35" s="144" t="s">
        <v>220</v>
      </c>
      <c r="P35" s="39" t="s">
        <v>4</v>
      </c>
    </row>
    <row r="36" spans="1:16" x14ac:dyDescent="0.25">
      <c r="A36" s="39" t="s">
        <v>197</v>
      </c>
      <c r="B36" s="39" t="s">
        <v>221</v>
      </c>
      <c r="C36" s="39" t="s">
        <v>221</v>
      </c>
      <c r="K36" s="39" t="s">
        <v>107</v>
      </c>
      <c r="N36" s="144" t="s">
        <v>108</v>
      </c>
      <c r="O36" s="144" t="s">
        <v>197</v>
      </c>
      <c r="P36" s="39" t="s">
        <v>4</v>
      </c>
    </row>
    <row r="37" spans="1:16" x14ac:dyDescent="0.25">
      <c r="A37" s="39" t="s">
        <v>197</v>
      </c>
      <c r="B37" s="39" t="s">
        <v>222</v>
      </c>
      <c r="C37" s="39" t="s">
        <v>222</v>
      </c>
      <c r="K37" s="39" t="s">
        <v>123</v>
      </c>
      <c r="L37" s="144">
        <v>18</v>
      </c>
      <c r="M37" s="39">
        <v>2</v>
      </c>
    </row>
    <row r="38" spans="1:16" x14ac:dyDescent="0.25">
      <c r="A38" s="39" t="s">
        <v>197</v>
      </c>
      <c r="B38" s="39" t="s">
        <v>223</v>
      </c>
      <c r="C38" s="39" t="s">
        <v>223</v>
      </c>
      <c r="K38" s="39" t="s">
        <v>123</v>
      </c>
      <c r="L38" s="144">
        <v>18</v>
      </c>
      <c r="M38" s="39">
        <v>2</v>
      </c>
    </row>
    <row r="39" spans="1:16" x14ac:dyDescent="0.25">
      <c r="A39" s="39" t="s">
        <v>197</v>
      </c>
      <c r="B39" s="39" t="s">
        <v>224</v>
      </c>
      <c r="C39" s="39" t="s">
        <v>224</v>
      </c>
      <c r="K39" s="39" t="s">
        <v>194</v>
      </c>
      <c r="L39" s="144">
        <v>200</v>
      </c>
    </row>
    <row r="40" spans="1:16" x14ac:dyDescent="0.25">
      <c r="A40" s="39" t="s">
        <v>197</v>
      </c>
      <c r="B40" s="39" t="s">
        <v>167</v>
      </c>
      <c r="C40" s="39" t="s">
        <v>167</v>
      </c>
      <c r="K40" s="39" t="s">
        <v>123</v>
      </c>
      <c r="L40" s="144">
        <v>18</v>
      </c>
      <c r="M40" s="39">
        <v>2</v>
      </c>
    </row>
    <row r="41" spans="1:16" x14ac:dyDescent="0.25">
      <c r="A41" s="39" t="s">
        <v>197</v>
      </c>
      <c r="B41" s="39" t="s">
        <v>225</v>
      </c>
      <c r="C41" s="39" t="s">
        <v>225</v>
      </c>
      <c r="K41" s="39" t="s">
        <v>194</v>
      </c>
      <c r="L41" s="144">
        <v>200</v>
      </c>
    </row>
    <row r="42" spans="1:16" x14ac:dyDescent="0.25">
      <c r="A42" s="39" t="s">
        <v>197</v>
      </c>
      <c r="B42" s="39" t="s">
        <v>226</v>
      </c>
      <c r="C42" s="39" t="s">
        <v>226</v>
      </c>
      <c r="K42" s="39" t="s">
        <v>194</v>
      </c>
      <c r="L42" s="144">
        <v>200</v>
      </c>
    </row>
    <row r="43" spans="1:16" x14ac:dyDescent="0.25">
      <c r="A43" s="39" t="s">
        <v>197</v>
      </c>
      <c r="B43" s="39" t="s">
        <v>227</v>
      </c>
      <c r="C43" s="39" t="s">
        <v>227</v>
      </c>
      <c r="K43" s="39" t="s">
        <v>194</v>
      </c>
      <c r="L43" s="144">
        <v>200</v>
      </c>
    </row>
    <row r="44" spans="1:16" x14ac:dyDescent="0.25">
      <c r="A44" s="39" t="s">
        <v>197</v>
      </c>
      <c r="B44" s="39" t="s">
        <v>228</v>
      </c>
      <c r="C44" s="39" t="s">
        <v>228</v>
      </c>
      <c r="K44" s="39" t="s">
        <v>194</v>
      </c>
      <c r="L44" s="144">
        <v>200</v>
      </c>
    </row>
    <row r="45" spans="1:16" x14ac:dyDescent="0.25">
      <c r="A45" s="39" t="s">
        <v>197</v>
      </c>
      <c r="B45" s="39" t="s">
        <v>229</v>
      </c>
      <c r="C45" s="39" t="s">
        <v>229</v>
      </c>
      <c r="K45" s="39" t="s">
        <v>194</v>
      </c>
      <c r="L45" s="144">
        <v>200</v>
      </c>
    </row>
    <row r="46" spans="1:16" x14ac:dyDescent="0.25">
      <c r="A46" s="39" t="s">
        <v>197</v>
      </c>
      <c r="B46" s="39" t="s">
        <v>230</v>
      </c>
      <c r="C46" s="39" t="s">
        <v>230</v>
      </c>
      <c r="K46" s="39" t="s">
        <v>194</v>
      </c>
      <c r="L46" s="144">
        <v>200</v>
      </c>
    </row>
    <row r="47" spans="1:16" x14ac:dyDescent="0.25">
      <c r="A47" s="39" t="s">
        <v>197</v>
      </c>
      <c r="B47" s="39" t="s">
        <v>231</v>
      </c>
      <c r="C47" s="39" t="s">
        <v>231</v>
      </c>
      <c r="K47" s="39" t="s">
        <v>194</v>
      </c>
      <c r="L47" s="144">
        <v>200</v>
      </c>
    </row>
    <row r="48" spans="1:16" x14ac:dyDescent="0.25">
      <c r="A48" s="39" t="s">
        <v>197</v>
      </c>
      <c r="B48" s="39" t="s">
        <v>232</v>
      </c>
      <c r="C48" s="39" t="s">
        <v>232</v>
      </c>
      <c r="K48" s="39" t="s">
        <v>194</v>
      </c>
      <c r="L48" s="144">
        <v>200</v>
      </c>
    </row>
    <row r="49" spans="1:18" x14ac:dyDescent="0.25">
      <c r="A49" s="39" t="s">
        <v>197</v>
      </c>
      <c r="B49" s="39" t="s">
        <v>233</v>
      </c>
      <c r="C49" s="39" t="s">
        <v>233</v>
      </c>
      <c r="K49" s="39" t="s">
        <v>194</v>
      </c>
      <c r="L49" s="144">
        <v>200</v>
      </c>
    </row>
    <row r="50" spans="1:18" x14ac:dyDescent="0.25">
      <c r="A50" s="39" t="s">
        <v>197</v>
      </c>
      <c r="B50" s="39" t="s">
        <v>234</v>
      </c>
      <c r="C50" s="39" t="s">
        <v>234</v>
      </c>
      <c r="K50" s="39" t="s">
        <v>194</v>
      </c>
      <c r="L50" s="144">
        <v>200</v>
      </c>
    </row>
    <row r="51" spans="1:18" x14ac:dyDescent="0.25">
      <c r="A51" s="39" t="s">
        <v>197</v>
      </c>
      <c r="B51" s="39" t="s">
        <v>235</v>
      </c>
      <c r="C51" s="39" t="s">
        <v>235</v>
      </c>
      <c r="K51" s="39" t="s">
        <v>194</v>
      </c>
      <c r="L51" s="144">
        <v>200</v>
      </c>
    </row>
    <row r="52" spans="1:18" x14ac:dyDescent="0.25">
      <c r="A52" s="39" t="s">
        <v>197</v>
      </c>
      <c r="B52" s="39" t="s">
        <v>236</v>
      </c>
      <c r="C52" s="39" t="s">
        <v>236</v>
      </c>
      <c r="K52" s="39" t="s">
        <v>194</v>
      </c>
      <c r="L52" s="144">
        <v>200</v>
      </c>
    </row>
    <row r="53" spans="1:18" x14ac:dyDescent="0.25">
      <c r="A53" s="39" t="s">
        <v>197</v>
      </c>
      <c r="B53" s="39" t="s">
        <v>237</v>
      </c>
      <c r="C53" s="39" t="s">
        <v>237</v>
      </c>
      <c r="K53" s="39" t="s">
        <v>194</v>
      </c>
      <c r="L53" s="144">
        <v>200</v>
      </c>
    </row>
    <row r="54" spans="1:18" x14ac:dyDescent="0.25">
      <c r="A54" s="39" t="s">
        <v>197</v>
      </c>
      <c r="B54" s="39" t="s">
        <v>238</v>
      </c>
      <c r="C54" s="39" t="s">
        <v>238</v>
      </c>
      <c r="K54" s="39" t="s">
        <v>194</v>
      </c>
      <c r="L54" s="144">
        <v>200</v>
      </c>
    </row>
    <row r="55" spans="1:18" x14ac:dyDescent="0.25">
      <c r="A55" s="39" t="s">
        <v>197</v>
      </c>
      <c r="B55" s="39" t="s">
        <v>239</v>
      </c>
      <c r="C55" s="39" t="s">
        <v>239</v>
      </c>
      <c r="K55" s="39" t="s">
        <v>107</v>
      </c>
      <c r="N55" s="144" t="s">
        <v>108</v>
      </c>
      <c r="O55" s="144" t="s">
        <v>206</v>
      </c>
      <c r="P55" s="39" t="s">
        <v>4</v>
      </c>
    </row>
    <row r="56" spans="1:18" x14ac:dyDescent="0.25">
      <c r="A56" s="39" t="s">
        <v>197</v>
      </c>
      <c r="B56" s="39" t="s">
        <v>240</v>
      </c>
      <c r="C56" s="39" t="s">
        <v>240</v>
      </c>
      <c r="K56" s="39" t="s">
        <v>107</v>
      </c>
      <c r="N56" s="144" t="s">
        <v>108</v>
      </c>
      <c r="O56" s="144" t="s">
        <v>206</v>
      </c>
      <c r="P56" s="39" t="s">
        <v>4</v>
      </c>
    </row>
    <row r="57" spans="1:18" x14ac:dyDescent="0.25">
      <c r="A57" s="39" t="s">
        <v>197</v>
      </c>
      <c r="B57" s="39" t="s">
        <v>241</v>
      </c>
      <c r="C57" s="39" t="s">
        <v>241</v>
      </c>
      <c r="K57" s="39" t="s">
        <v>107</v>
      </c>
      <c r="N57" s="144" t="s">
        <v>108</v>
      </c>
      <c r="O57" s="144" t="s">
        <v>206</v>
      </c>
      <c r="P57" s="39" t="s">
        <v>4</v>
      </c>
    </row>
    <row r="58" spans="1:18" x14ac:dyDescent="0.25">
      <c r="A58" s="39" t="s">
        <v>197</v>
      </c>
      <c r="B58" s="39" t="s">
        <v>242</v>
      </c>
      <c r="C58" s="39" t="s">
        <v>242</v>
      </c>
      <c r="K58" s="39" t="s">
        <v>107</v>
      </c>
      <c r="N58" s="144" t="s">
        <v>108</v>
      </c>
      <c r="O58" s="144" t="s">
        <v>206</v>
      </c>
      <c r="P58" s="39" t="s">
        <v>4</v>
      </c>
    </row>
    <row r="59" spans="1:18" x14ac:dyDescent="0.25">
      <c r="A59" s="39" t="s">
        <v>197</v>
      </c>
      <c r="B59" s="39" t="s">
        <v>243</v>
      </c>
      <c r="C59" s="39" t="s">
        <v>243</v>
      </c>
      <c r="K59" s="39" t="s">
        <v>107</v>
      </c>
      <c r="N59" s="144" t="s">
        <v>108</v>
      </c>
      <c r="O59" s="144" t="s">
        <v>44</v>
      </c>
      <c r="P59" s="39" t="s">
        <v>4</v>
      </c>
    </row>
    <row r="60" spans="1:18" x14ac:dyDescent="0.25">
      <c r="A60" s="39" t="s">
        <v>197</v>
      </c>
      <c r="B60" s="39" t="s">
        <v>244</v>
      </c>
      <c r="C60" s="39" t="s">
        <v>244</v>
      </c>
      <c r="K60" s="39" t="s">
        <v>107</v>
      </c>
      <c r="N60" s="144" t="s">
        <v>108</v>
      </c>
      <c r="O60" s="144" t="s">
        <v>45</v>
      </c>
      <c r="P60" s="39" t="s">
        <v>4</v>
      </c>
    </row>
    <row r="61" spans="1:18" x14ac:dyDescent="0.25">
      <c r="A61" s="39" t="s">
        <v>197</v>
      </c>
      <c r="B61" s="39" t="s">
        <v>245</v>
      </c>
      <c r="C61" s="39" t="s">
        <v>245</v>
      </c>
      <c r="K61" s="39" t="s">
        <v>107</v>
      </c>
      <c r="N61" s="144" t="s">
        <v>108</v>
      </c>
      <c r="O61" s="144" t="s">
        <v>44</v>
      </c>
      <c r="P61" s="39" t="s">
        <v>4</v>
      </c>
    </row>
    <row r="62" spans="1:18" x14ac:dyDescent="0.25">
      <c r="A62" s="39" t="s">
        <v>197</v>
      </c>
      <c r="B62" s="39" t="s">
        <v>246</v>
      </c>
      <c r="C62" s="39" t="s">
        <v>246</v>
      </c>
      <c r="K62" s="39" t="s">
        <v>107</v>
      </c>
      <c r="N62" s="144" t="s">
        <v>108</v>
      </c>
      <c r="O62" s="144" t="s">
        <v>45</v>
      </c>
      <c r="P62" s="39" t="s">
        <v>4</v>
      </c>
    </row>
    <row r="63" spans="1:18" x14ac:dyDescent="0.25">
      <c r="A63" s="39" t="s">
        <v>197</v>
      </c>
      <c r="B63" s="39" t="s">
        <v>87</v>
      </c>
      <c r="C63" s="39" t="s">
        <v>87</v>
      </c>
      <c r="E63" s="39" t="s">
        <v>84</v>
      </c>
      <c r="G63" s="39">
        <v>2</v>
      </c>
      <c r="K63" s="39" t="s">
        <v>93</v>
      </c>
      <c r="P63" s="39" t="s">
        <v>4</v>
      </c>
      <c r="Q63" s="39" t="s">
        <v>94</v>
      </c>
      <c r="R63" s="39" t="s">
        <v>181</v>
      </c>
    </row>
    <row r="64" spans="1:18" x14ac:dyDescent="0.25">
      <c r="A64" s="39" t="s">
        <v>197</v>
      </c>
      <c r="B64" s="39" t="s">
        <v>89</v>
      </c>
      <c r="C64" s="39" t="s">
        <v>89</v>
      </c>
      <c r="E64" s="39" t="s">
        <v>84</v>
      </c>
      <c r="G64" s="39">
        <v>2</v>
      </c>
      <c r="K64" s="39" t="s">
        <v>85</v>
      </c>
      <c r="L64" s="144">
        <v>255</v>
      </c>
      <c r="P64" s="39" t="s">
        <v>4</v>
      </c>
      <c r="Q64" s="39" t="s">
        <v>91</v>
      </c>
      <c r="R64" s="39" t="s">
        <v>181</v>
      </c>
    </row>
    <row r="65" spans="1:18" x14ac:dyDescent="0.25">
      <c r="A65" s="39" t="s">
        <v>197</v>
      </c>
      <c r="B65" s="39" t="s">
        <v>90</v>
      </c>
      <c r="C65" s="39" t="s">
        <v>90</v>
      </c>
      <c r="E65" s="39" t="s">
        <v>84</v>
      </c>
      <c r="G65" s="39">
        <v>2</v>
      </c>
      <c r="K65" s="39" t="s">
        <v>85</v>
      </c>
      <c r="L65" s="144">
        <v>255</v>
      </c>
      <c r="P65" s="39" t="s">
        <v>4</v>
      </c>
      <c r="Q65" s="39" t="s">
        <v>91</v>
      </c>
      <c r="R65" s="39" t="s">
        <v>181</v>
      </c>
    </row>
    <row r="66" spans="1:18" x14ac:dyDescent="0.25">
      <c r="A66" s="39" t="s">
        <v>197</v>
      </c>
      <c r="B66" s="39" t="s">
        <v>92</v>
      </c>
      <c r="C66" s="39" t="s">
        <v>92</v>
      </c>
      <c r="E66" s="39" t="s">
        <v>84</v>
      </c>
      <c r="G66" s="39">
        <v>2</v>
      </c>
      <c r="K66" s="39" t="s">
        <v>93</v>
      </c>
      <c r="P66" s="39" t="s">
        <v>4</v>
      </c>
      <c r="Q66" s="39" t="s">
        <v>94</v>
      </c>
      <c r="R66" s="39" t="s">
        <v>181</v>
      </c>
    </row>
    <row r="67" spans="1:18" x14ac:dyDescent="0.25">
      <c r="A67" s="39" t="s">
        <v>197</v>
      </c>
      <c r="B67" s="39" t="s">
        <v>95</v>
      </c>
      <c r="C67" s="39" t="s">
        <v>95</v>
      </c>
      <c r="E67" s="39" t="s">
        <v>84</v>
      </c>
      <c r="G67" s="39">
        <v>2</v>
      </c>
      <c r="K67" s="39" t="s">
        <v>85</v>
      </c>
      <c r="L67" s="144">
        <v>255</v>
      </c>
      <c r="P67" s="39" t="s">
        <v>4</v>
      </c>
      <c r="Q67" s="39" t="s">
        <v>91</v>
      </c>
      <c r="R67" s="39" t="s">
        <v>181</v>
      </c>
    </row>
    <row r="68" spans="1:18" x14ac:dyDescent="0.25">
      <c r="A68" s="39" t="s">
        <v>197</v>
      </c>
      <c r="B68" s="39" t="s">
        <v>96</v>
      </c>
      <c r="C68" s="39" t="s">
        <v>96</v>
      </c>
      <c r="E68" s="39" t="s">
        <v>84</v>
      </c>
      <c r="G68" s="39">
        <v>2</v>
      </c>
      <c r="K68" s="39" t="s">
        <v>93</v>
      </c>
      <c r="P68" s="39" t="s">
        <v>4</v>
      </c>
      <c r="Q68" s="39" t="s">
        <v>94</v>
      </c>
      <c r="R68" s="39" t="s">
        <v>181</v>
      </c>
    </row>
    <row r="69" spans="1:18" s="145" customFormat="1" x14ac:dyDescent="0.25">
      <c r="A69" s="145" t="s">
        <v>247</v>
      </c>
      <c r="B69" s="145" t="s">
        <v>248</v>
      </c>
      <c r="C69" s="145" t="s">
        <v>248</v>
      </c>
      <c r="D69" s="145" t="s">
        <v>178</v>
      </c>
      <c r="G69" s="145" t="s">
        <v>179</v>
      </c>
      <c r="H69" s="146"/>
      <c r="K69" s="145" t="s">
        <v>107</v>
      </c>
      <c r="L69" s="146"/>
      <c r="N69" s="146" t="s">
        <v>180</v>
      </c>
      <c r="O69" s="146"/>
      <c r="P69" s="145" t="s">
        <v>4</v>
      </c>
      <c r="R69" s="145" t="s">
        <v>181</v>
      </c>
    </row>
    <row r="70" spans="1:18" x14ac:dyDescent="0.25">
      <c r="A70" s="39" t="s">
        <v>247</v>
      </c>
      <c r="B70" s="39" t="s">
        <v>105</v>
      </c>
      <c r="C70" s="39" t="s">
        <v>105</v>
      </c>
      <c r="D70" s="39" t="s">
        <v>182</v>
      </c>
      <c r="G70" s="39" t="s">
        <v>179</v>
      </c>
      <c r="K70" s="39" t="s">
        <v>85</v>
      </c>
      <c r="L70" s="144">
        <v>255</v>
      </c>
      <c r="P70" s="39" t="s">
        <v>4</v>
      </c>
    </row>
    <row r="71" spans="1:18" x14ac:dyDescent="0.25">
      <c r="A71" s="39" t="s">
        <v>247</v>
      </c>
      <c r="B71" s="39" t="s">
        <v>249</v>
      </c>
      <c r="C71" s="39" t="s">
        <v>249</v>
      </c>
      <c r="K71" s="39" t="s">
        <v>85</v>
      </c>
      <c r="L71" s="144">
        <v>255</v>
      </c>
    </row>
    <row r="72" spans="1:18" x14ac:dyDescent="0.25">
      <c r="A72" s="39" t="s">
        <v>247</v>
      </c>
      <c r="B72" s="39" t="s">
        <v>250</v>
      </c>
      <c r="C72" s="39" t="s">
        <v>250</v>
      </c>
      <c r="K72" s="39" t="s">
        <v>85</v>
      </c>
      <c r="L72" s="144">
        <v>255</v>
      </c>
    </row>
    <row r="73" spans="1:18" x14ac:dyDescent="0.25">
      <c r="A73" s="39" t="s">
        <v>247</v>
      </c>
      <c r="B73" s="39" t="s">
        <v>87</v>
      </c>
      <c r="C73" s="39" t="s">
        <v>87</v>
      </c>
      <c r="E73" s="39" t="s">
        <v>84</v>
      </c>
      <c r="G73" s="39">
        <v>2</v>
      </c>
      <c r="K73" s="39" t="s">
        <v>88</v>
      </c>
      <c r="P73" s="39" t="s">
        <v>4</v>
      </c>
    </row>
    <row r="74" spans="1:18" x14ac:dyDescent="0.25">
      <c r="A74" s="39" t="s">
        <v>247</v>
      </c>
      <c r="B74" s="39" t="s">
        <v>89</v>
      </c>
      <c r="C74" s="39" t="s">
        <v>89</v>
      </c>
      <c r="E74" s="39" t="s">
        <v>84</v>
      </c>
      <c r="G74" s="39">
        <v>2</v>
      </c>
      <c r="K74" s="39" t="s">
        <v>88</v>
      </c>
      <c r="P74" s="39" t="s">
        <v>4</v>
      </c>
      <c r="R74" s="39" t="s">
        <v>181</v>
      </c>
    </row>
    <row r="75" spans="1:18" x14ac:dyDescent="0.25">
      <c r="A75" s="39" t="s">
        <v>247</v>
      </c>
      <c r="B75" s="39" t="s">
        <v>90</v>
      </c>
      <c r="C75" s="39" t="s">
        <v>90</v>
      </c>
      <c r="E75" s="39" t="s">
        <v>84</v>
      </c>
      <c r="G75" s="39">
        <v>2</v>
      </c>
      <c r="K75" s="39" t="s">
        <v>85</v>
      </c>
      <c r="L75" s="144">
        <v>255</v>
      </c>
      <c r="P75" s="39" t="s">
        <v>4</v>
      </c>
      <c r="Q75" s="39" t="s">
        <v>91</v>
      </c>
      <c r="R75" s="39" t="s">
        <v>181</v>
      </c>
    </row>
    <row r="76" spans="1:18" x14ac:dyDescent="0.25">
      <c r="A76" s="39" t="s">
        <v>247</v>
      </c>
      <c r="B76" s="39" t="s">
        <v>92</v>
      </c>
      <c r="C76" s="39" t="s">
        <v>92</v>
      </c>
      <c r="E76" s="39" t="s">
        <v>84</v>
      </c>
      <c r="G76" s="39">
        <v>2</v>
      </c>
      <c r="K76" s="39" t="s">
        <v>93</v>
      </c>
      <c r="P76" s="39" t="s">
        <v>4</v>
      </c>
      <c r="Q76" s="39" t="s">
        <v>94</v>
      </c>
      <c r="R76" s="39" t="s">
        <v>181</v>
      </c>
    </row>
    <row r="77" spans="1:18" x14ac:dyDescent="0.25">
      <c r="A77" s="39" t="s">
        <v>247</v>
      </c>
      <c r="B77" s="39" t="s">
        <v>95</v>
      </c>
      <c r="C77" s="39" t="s">
        <v>95</v>
      </c>
      <c r="E77" s="39" t="s">
        <v>84</v>
      </c>
      <c r="G77" s="39">
        <v>2</v>
      </c>
      <c r="K77" s="39" t="s">
        <v>85</v>
      </c>
      <c r="L77" s="144">
        <v>255</v>
      </c>
      <c r="P77" s="39" t="s">
        <v>4</v>
      </c>
      <c r="Q77" s="39" t="s">
        <v>91</v>
      </c>
      <c r="R77" s="39" t="s">
        <v>181</v>
      </c>
    </row>
    <row r="78" spans="1:18" x14ac:dyDescent="0.25">
      <c r="A78" s="39" t="s">
        <v>247</v>
      </c>
      <c r="B78" s="39" t="s">
        <v>96</v>
      </c>
      <c r="C78" s="39" t="s">
        <v>96</v>
      </c>
      <c r="E78" s="39" t="s">
        <v>84</v>
      </c>
      <c r="G78" s="39">
        <v>2</v>
      </c>
      <c r="K78" s="39" t="s">
        <v>93</v>
      </c>
      <c r="P78" s="39" t="s">
        <v>4</v>
      </c>
      <c r="Q78" s="39" t="s">
        <v>94</v>
      </c>
      <c r="R78" s="39" t="s">
        <v>181</v>
      </c>
    </row>
    <row r="79" spans="1:18" s="145" customFormat="1" x14ac:dyDescent="0.25">
      <c r="A79" s="145" t="s">
        <v>251</v>
      </c>
      <c r="B79" s="145" t="s">
        <v>252</v>
      </c>
      <c r="C79" s="145" t="s">
        <v>252</v>
      </c>
      <c r="D79" s="145" t="s">
        <v>178</v>
      </c>
      <c r="G79" s="145" t="s">
        <v>179</v>
      </c>
      <c r="H79" s="146"/>
      <c r="K79" s="145" t="s">
        <v>107</v>
      </c>
      <c r="L79" s="146"/>
      <c r="N79" s="146" t="s">
        <v>180</v>
      </c>
      <c r="O79" s="146"/>
      <c r="P79" s="145" t="s">
        <v>4</v>
      </c>
      <c r="R79" s="145" t="s">
        <v>181</v>
      </c>
    </row>
    <row r="80" spans="1:18" x14ac:dyDescent="0.25">
      <c r="A80" s="39" t="s">
        <v>251</v>
      </c>
      <c r="B80" s="39" t="s">
        <v>105</v>
      </c>
      <c r="C80" s="39" t="s">
        <v>105</v>
      </c>
      <c r="D80" s="39" t="s">
        <v>182</v>
      </c>
      <c r="G80" s="39" t="s">
        <v>179</v>
      </c>
      <c r="K80" s="39" t="s">
        <v>85</v>
      </c>
      <c r="L80" s="144">
        <v>255</v>
      </c>
      <c r="P80" s="39" t="s">
        <v>4</v>
      </c>
    </row>
    <row r="81" spans="1:18" x14ac:dyDescent="0.25">
      <c r="A81" s="39" t="s">
        <v>251</v>
      </c>
      <c r="B81" s="39" t="s">
        <v>248</v>
      </c>
      <c r="C81" s="39" t="s">
        <v>248</v>
      </c>
      <c r="K81" s="39" t="s">
        <v>107</v>
      </c>
      <c r="N81" s="144" t="s">
        <v>108</v>
      </c>
      <c r="O81" s="144" t="s">
        <v>247</v>
      </c>
      <c r="P81" s="39" t="s">
        <v>4</v>
      </c>
    </row>
    <row r="82" spans="1:18" x14ac:dyDescent="0.25">
      <c r="A82" s="39" t="s">
        <v>251</v>
      </c>
      <c r="B82" s="39" t="s">
        <v>253</v>
      </c>
      <c r="C82" s="39" t="s">
        <v>253</v>
      </c>
      <c r="K82" s="39" t="s">
        <v>85</v>
      </c>
      <c r="L82" s="144">
        <v>255</v>
      </c>
    </row>
    <row r="83" spans="1:18" x14ac:dyDescent="0.25">
      <c r="A83" s="39" t="s">
        <v>251</v>
      </c>
      <c r="B83" s="39" t="s">
        <v>250</v>
      </c>
      <c r="C83" s="39" t="s">
        <v>250</v>
      </c>
      <c r="K83" s="39" t="s">
        <v>85</v>
      </c>
      <c r="L83" s="144">
        <v>255</v>
      </c>
    </row>
    <row r="84" spans="1:18" x14ac:dyDescent="0.25">
      <c r="A84" s="39" t="s">
        <v>251</v>
      </c>
      <c r="B84" s="39" t="s">
        <v>87</v>
      </c>
      <c r="C84" s="39" t="s">
        <v>87</v>
      </c>
      <c r="E84" s="39" t="s">
        <v>84</v>
      </c>
      <c r="G84" s="39">
        <v>2</v>
      </c>
      <c r="K84" s="39" t="s">
        <v>88</v>
      </c>
      <c r="P84" s="39" t="s">
        <v>4</v>
      </c>
    </row>
    <row r="85" spans="1:18" x14ac:dyDescent="0.25">
      <c r="A85" s="39" t="s">
        <v>251</v>
      </c>
      <c r="B85" s="39" t="s">
        <v>89</v>
      </c>
      <c r="C85" s="39" t="s">
        <v>89</v>
      </c>
      <c r="E85" s="39" t="s">
        <v>84</v>
      </c>
      <c r="G85" s="39">
        <v>2</v>
      </c>
      <c r="K85" s="39" t="s">
        <v>88</v>
      </c>
      <c r="P85" s="39" t="s">
        <v>4</v>
      </c>
      <c r="R85" s="39" t="s">
        <v>181</v>
      </c>
    </row>
    <row r="86" spans="1:18" x14ac:dyDescent="0.25">
      <c r="A86" s="39" t="s">
        <v>251</v>
      </c>
      <c r="B86" s="39" t="s">
        <v>90</v>
      </c>
      <c r="C86" s="39" t="s">
        <v>90</v>
      </c>
      <c r="E86" s="39" t="s">
        <v>84</v>
      </c>
      <c r="G86" s="39">
        <v>2</v>
      </c>
      <c r="K86" s="39" t="s">
        <v>85</v>
      </c>
      <c r="L86" s="144">
        <v>255</v>
      </c>
      <c r="P86" s="39" t="s">
        <v>4</v>
      </c>
      <c r="Q86" s="39" t="s">
        <v>91</v>
      </c>
      <c r="R86" s="39" t="s">
        <v>181</v>
      </c>
    </row>
    <row r="87" spans="1:18" x14ac:dyDescent="0.25">
      <c r="A87" s="39" t="s">
        <v>251</v>
      </c>
      <c r="B87" s="39" t="s">
        <v>92</v>
      </c>
      <c r="C87" s="39" t="s">
        <v>92</v>
      </c>
      <c r="E87" s="39" t="s">
        <v>84</v>
      </c>
      <c r="G87" s="39">
        <v>2</v>
      </c>
      <c r="K87" s="39" t="s">
        <v>93</v>
      </c>
      <c r="P87" s="39" t="s">
        <v>4</v>
      </c>
      <c r="Q87" s="39" t="s">
        <v>94</v>
      </c>
      <c r="R87" s="39" t="s">
        <v>181</v>
      </c>
    </row>
    <row r="88" spans="1:18" x14ac:dyDescent="0.25">
      <c r="A88" s="39" t="s">
        <v>251</v>
      </c>
      <c r="B88" s="39" t="s">
        <v>95</v>
      </c>
      <c r="C88" s="39" t="s">
        <v>95</v>
      </c>
      <c r="E88" s="39" t="s">
        <v>84</v>
      </c>
      <c r="G88" s="39">
        <v>2</v>
      </c>
      <c r="K88" s="39" t="s">
        <v>85</v>
      </c>
      <c r="L88" s="144">
        <v>255</v>
      </c>
      <c r="P88" s="39" t="s">
        <v>4</v>
      </c>
      <c r="Q88" s="39" t="s">
        <v>91</v>
      </c>
      <c r="R88" s="39" t="s">
        <v>181</v>
      </c>
    </row>
    <row r="89" spans="1:18" x14ac:dyDescent="0.25">
      <c r="A89" s="39" t="s">
        <v>251</v>
      </c>
      <c r="B89" s="39" t="s">
        <v>96</v>
      </c>
      <c r="C89" s="39" t="s">
        <v>96</v>
      </c>
      <c r="E89" s="39" t="s">
        <v>84</v>
      </c>
      <c r="G89" s="39">
        <v>2</v>
      </c>
      <c r="K89" s="39" t="s">
        <v>93</v>
      </c>
      <c r="P89" s="39" t="s">
        <v>4</v>
      </c>
      <c r="Q89" s="39" t="s">
        <v>94</v>
      </c>
      <c r="R89" s="39" t="s">
        <v>181</v>
      </c>
    </row>
    <row r="90" spans="1:18" s="145" customFormat="1" x14ac:dyDescent="0.25">
      <c r="A90" s="145" t="s">
        <v>254</v>
      </c>
      <c r="B90" s="145" t="s">
        <v>255</v>
      </c>
      <c r="C90" s="145" t="s">
        <v>255</v>
      </c>
      <c r="D90" s="145" t="s">
        <v>178</v>
      </c>
      <c r="G90" s="145" t="s">
        <v>179</v>
      </c>
      <c r="H90" s="146"/>
      <c r="K90" s="145" t="s">
        <v>107</v>
      </c>
      <c r="L90" s="146"/>
      <c r="N90" s="146" t="s">
        <v>180</v>
      </c>
      <c r="O90" s="146"/>
      <c r="P90" s="145" t="s">
        <v>4</v>
      </c>
      <c r="R90" s="145" t="s">
        <v>181</v>
      </c>
    </row>
    <row r="91" spans="1:18" x14ac:dyDescent="0.25">
      <c r="A91" s="39" t="s">
        <v>254</v>
      </c>
      <c r="B91" s="39" t="s">
        <v>105</v>
      </c>
      <c r="C91" s="39" t="s">
        <v>105</v>
      </c>
      <c r="D91" s="39" t="s">
        <v>182</v>
      </c>
      <c r="G91" s="39" t="s">
        <v>179</v>
      </c>
      <c r="K91" s="39" t="s">
        <v>85</v>
      </c>
      <c r="L91" s="144">
        <v>255</v>
      </c>
      <c r="P91" s="39" t="s">
        <v>4</v>
      </c>
    </row>
    <row r="92" spans="1:18" x14ac:dyDescent="0.25">
      <c r="A92" s="39" t="s">
        <v>254</v>
      </c>
      <c r="B92" s="39" t="s">
        <v>252</v>
      </c>
      <c r="C92" s="39" t="s">
        <v>252</v>
      </c>
      <c r="K92" s="39" t="s">
        <v>107</v>
      </c>
      <c r="N92" s="144" t="s">
        <v>108</v>
      </c>
      <c r="O92" s="144" t="s">
        <v>251</v>
      </c>
      <c r="P92" s="39" t="s">
        <v>4</v>
      </c>
    </row>
    <row r="93" spans="1:18" x14ac:dyDescent="0.25">
      <c r="A93" s="39" t="s">
        <v>254</v>
      </c>
      <c r="B93" s="39" t="s">
        <v>256</v>
      </c>
      <c r="C93" s="39" t="s">
        <v>256</v>
      </c>
      <c r="K93" s="39" t="s">
        <v>85</v>
      </c>
      <c r="L93" s="144">
        <v>255</v>
      </c>
    </row>
    <row r="94" spans="1:18" x14ac:dyDescent="0.25">
      <c r="A94" s="39" t="s">
        <v>254</v>
      </c>
      <c r="B94" s="39" t="s">
        <v>250</v>
      </c>
      <c r="C94" s="39" t="s">
        <v>250</v>
      </c>
      <c r="K94" s="39" t="s">
        <v>85</v>
      </c>
      <c r="L94" s="144">
        <v>255</v>
      </c>
    </row>
    <row r="95" spans="1:18" x14ac:dyDescent="0.25">
      <c r="A95" s="39" t="s">
        <v>254</v>
      </c>
      <c r="B95" s="39" t="s">
        <v>87</v>
      </c>
      <c r="C95" s="39" t="s">
        <v>87</v>
      </c>
      <c r="E95" s="39" t="s">
        <v>84</v>
      </c>
      <c r="G95" s="39">
        <v>2</v>
      </c>
      <c r="K95" s="39" t="s">
        <v>88</v>
      </c>
      <c r="P95" s="39" t="s">
        <v>4</v>
      </c>
    </row>
    <row r="96" spans="1:18" x14ac:dyDescent="0.25">
      <c r="A96" s="39" t="s">
        <v>254</v>
      </c>
      <c r="B96" s="39" t="s">
        <v>89</v>
      </c>
      <c r="C96" s="39" t="s">
        <v>89</v>
      </c>
      <c r="E96" s="39" t="s">
        <v>84</v>
      </c>
      <c r="G96" s="39">
        <v>2</v>
      </c>
      <c r="K96" s="39" t="s">
        <v>88</v>
      </c>
      <c r="P96" s="39" t="s">
        <v>4</v>
      </c>
      <c r="R96" s="39" t="s">
        <v>181</v>
      </c>
    </row>
    <row r="97" spans="1:18" x14ac:dyDescent="0.25">
      <c r="A97" s="39" t="s">
        <v>254</v>
      </c>
      <c r="B97" s="39" t="s">
        <v>90</v>
      </c>
      <c r="C97" s="39" t="s">
        <v>90</v>
      </c>
      <c r="E97" s="39" t="s">
        <v>84</v>
      </c>
      <c r="G97" s="39">
        <v>2</v>
      </c>
      <c r="K97" s="39" t="s">
        <v>85</v>
      </c>
      <c r="L97" s="144">
        <v>255</v>
      </c>
      <c r="P97" s="39" t="s">
        <v>4</v>
      </c>
      <c r="Q97" s="39" t="s">
        <v>91</v>
      </c>
      <c r="R97" s="39" t="s">
        <v>181</v>
      </c>
    </row>
    <row r="98" spans="1:18" x14ac:dyDescent="0.25">
      <c r="A98" s="39" t="s">
        <v>254</v>
      </c>
      <c r="B98" s="39" t="s">
        <v>92</v>
      </c>
      <c r="C98" s="39" t="s">
        <v>92</v>
      </c>
      <c r="E98" s="39" t="s">
        <v>84</v>
      </c>
      <c r="G98" s="39">
        <v>2</v>
      </c>
      <c r="K98" s="39" t="s">
        <v>93</v>
      </c>
      <c r="P98" s="39" t="s">
        <v>4</v>
      </c>
      <c r="Q98" s="39" t="s">
        <v>94</v>
      </c>
      <c r="R98" s="39" t="s">
        <v>181</v>
      </c>
    </row>
    <row r="99" spans="1:18" x14ac:dyDescent="0.25">
      <c r="A99" s="39" t="s">
        <v>254</v>
      </c>
      <c r="B99" s="39" t="s">
        <v>95</v>
      </c>
      <c r="C99" s="39" t="s">
        <v>95</v>
      </c>
      <c r="E99" s="39" t="s">
        <v>84</v>
      </c>
      <c r="G99" s="39">
        <v>2</v>
      </c>
      <c r="K99" s="39" t="s">
        <v>85</v>
      </c>
      <c r="L99" s="144">
        <v>255</v>
      </c>
      <c r="P99" s="39" t="s">
        <v>4</v>
      </c>
      <c r="Q99" s="39" t="s">
        <v>91</v>
      </c>
      <c r="R99" s="39" t="s">
        <v>181</v>
      </c>
    </row>
    <row r="100" spans="1:18" x14ac:dyDescent="0.25">
      <c r="A100" s="39" t="s">
        <v>254</v>
      </c>
      <c r="B100" s="39" t="s">
        <v>96</v>
      </c>
      <c r="C100" s="39" t="s">
        <v>96</v>
      </c>
      <c r="E100" s="39" t="s">
        <v>84</v>
      </c>
      <c r="G100" s="39">
        <v>2</v>
      </c>
      <c r="K100" s="39" t="s">
        <v>93</v>
      </c>
      <c r="P100" s="39" t="s">
        <v>4</v>
      </c>
      <c r="Q100" s="39" t="s">
        <v>94</v>
      </c>
      <c r="R100" s="39" t="s">
        <v>181</v>
      </c>
    </row>
    <row r="101" spans="1:18" s="145" customFormat="1" x14ac:dyDescent="0.25">
      <c r="A101" s="145" t="s">
        <v>184</v>
      </c>
      <c r="B101" s="145" t="s">
        <v>183</v>
      </c>
      <c r="C101" s="145" t="s">
        <v>183</v>
      </c>
      <c r="D101" s="145" t="s">
        <v>178</v>
      </c>
      <c r="G101" s="145" t="s">
        <v>179</v>
      </c>
      <c r="H101" s="146"/>
      <c r="K101" s="145" t="s">
        <v>107</v>
      </c>
      <c r="L101" s="146"/>
      <c r="N101" s="146" t="s">
        <v>180</v>
      </c>
      <c r="O101" s="146"/>
      <c r="P101" s="145" t="s">
        <v>4</v>
      </c>
      <c r="R101" s="145" t="s">
        <v>181</v>
      </c>
    </row>
    <row r="102" spans="1:18" x14ac:dyDescent="0.25">
      <c r="A102" s="39" t="s">
        <v>184</v>
      </c>
      <c r="B102" s="39" t="s">
        <v>105</v>
      </c>
      <c r="C102" s="39" t="s">
        <v>105</v>
      </c>
      <c r="D102" s="39" t="s">
        <v>182</v>
      </c>
      <c r="G102" s="39" t="s">
        <v>179</v>
      </c>
      <c r="K102" s="39" t="s">
        <v>85</v>
      </c>
      <c r="L102" s="144">
        <v>255</v>
      </c>
      <c r="P102" s="39" t="s">
        <v>4</v>
      </c>
    </row>
    <row r="103" spans="1:18" x14ac:dyDescent="0.25">
      <c r="A103" s="39" t="s">
        <v>184</v>
      </c>
      <c r="B103" s="39" t="s">
        <v>255</v>
      </c>
      <c r="C103" s="39" t="s">
        <v>255</v>
      </c>
      <c r="K103" s="39" t="s">
        <v>107</v>
      </c>
      <c r="N103" s="144" t="s">
        <v>108</v>
      </c>
      <c r="O103" s="144" t="s">
        <v>254</v>
      </c>
      <c r="P103" s="39" t="s">
        <v>4</v>
      </c>
    </row>
    <row r="104" spans="1:18" x14ac:dyDescent="0.25">
      <c r="A104" s="39" t="s">
        <v>184</v>
      </c>
      <c r="B104" s="39" t="s">
        <v>257</v>
      </c>
      <c r="C104" s="39" t="s">
        <v>257</v>
      </c>
      <c r="K104" s="39" t="s">
        <v>85</v>
      </c>
      <c r="L104" s="144">
        <v>255</v>
      </c>
    </row>
    <row r="105" spans="1:18" x14ac:dyDescent="0.25">
      <c r="A105" s="39" t="s">
        <v>184</v>
      </c>
      <c r="B105" s="39" t="s">
        <v>258</v>
      </c>
      <c r="C105" s="39" t="s">
        <v>258</v>
      </c>
      <c r="K105" s="39" t="s">
        <v>85</v>
      </c>
      <c r="L105" s="144">
        <v>255</v>
      </c>
    </row>
    <row r="106" spans="1:18" x14ac:dyDescent="0.25">
      <c r="A106" s="39" t="s">
        <v>184</v>
      </c>
      <c r="B106" s="39" t="s">
        <v>21</v>
      </c>
      <c r="C106" s="39" t="s">
        <v>21</v>
      </c>
      <c r="K106" s="39" t="s">
        <v>85</v>
      </c>
      <c r="L106" s="144">
        <v>1000</v>
      </c>
    </row>
    <row r="107" spans="1:18" x14ac:dyDescent="0.25">
      <c r="A107" s="39" t="s">
        <v>184</v>
      </c>
      <c r="B107" s="39" t="s">
        <v>259</v>
      </c>
      <c r="C107" s="39" t="s">
        <v>259</v>
      </c>
      <c r="K107" s="39" t="s">
        <v>260</v>
      </c>
    </row>
    <row r="108" spans="1:18" x14ac:dyDescent="0.25">
      <c r="A108" s="39" t="s">
        <v>184</v>
      </c>
      <c r="B108" s="39" t="s">
        <v>87</v>
      </c>
      <c r="C108" s="39" t="s">
        <v>87</v>
      </c>
      <c r="E108" s="39" t="s">
        <v>84</v>
      </c>
      <c r="G108" s="39">
        <v>2</v>
      </c>
      <c r="K108" s="39" t="s">
        <v>88</v>
      </c>
      <c r="P108" s="39" t="s">
        <v>4</v>
      </c>
    </row>
    <row r="109" spans="1:18" x14ac:dyDescent="0.25">
      <c r="A109" s="39" t="s">
        <v>184</v>
      </c>
      <c r="B109" s="39" t="s">
        <v>89</v>
      </c>
      <c r="C109" s="39" t="s">
        <v>89</v>
      </c>
      <c r="E109" s="39" t="s">
        <v>84</v>
      </c>
      <c r="G109" s="39">
        <v>2</v>
      </c>
      <c r="K109" s="39" t="s">
        <v>88</v>
      </c>
      <c r="P109" s="39" t="s">
        <v>4</v>
      </c>
      <c r="R109" s="39" t="s">
        <v>181</v>
      </c>
    </row>
    <row r="110" spans="1:18" x14ac:dyDescent="0.25">
      <c r="A110" s="39" t="s">
        <v>184</v>
      </c>
      <c r="B110" s="39" t="s">
        <v>90</v>
      </c>
      <c r="C110" s="39" t="s">
        <v>90</v>
      </c>
      <c r="E110" s="39" t="s">
        <v>84</v>
      </c>
      <c r="G110" s="39">
        <v>2</v>
      </c>
      <c r="K110" s="39" t="s">
        <v>85</v>
      </c>
      <c r="L110" s="144">
        <v>255</v>
      </c>
      <c r="P110" s="39" t="s">
        <v>4</v>
      </c>
      <c r="Q110" s="39" t="s">
        <v>91</v>
      </c>
      <c r="R110" s="39" t="s">
        <v>181</v>
      </c>
    </row>
    <row r="111" spans="1:18" x14ac:dyDescent="0.25">
      <c r="A111" s="39" t="s">
        <v>184</v>
      </c>
      <c r="B111" s="39" t="s">
        <v>92</v>
      </c>
      <c r="C111" s="39" t="s">
        <v>92</v>
      </c>
      <c r="E111" s="39" t="s">
        <v>84</v>
      </c>
      <c r="G111" s="39">
        <v>2</v>
      </c>
      <c r="K111" s="39" t="s">
        <v>93</v>
      </c>
      <c r="P111" s="39" t="s">
        <v>4</v>
      </c>
      <c r="Q111" s="39" t="s">
        <v>94</v>
      </c>
      <c r="R111" s="39" t="s">
        <v>181</v>
      </c>
    </row>
    <row r="112" spans="1:18" x14ac:dyDescent="0.25">
      <c r="A112" s="39" t="s">
        <v>184</v>
      </c>
      <c r="B112" s="39" t="s">
        <v>95</v>
      </c>
      <c r="C112" s="39" t="s">
        <v>95</v>
      </c>
      <c r="E112" s="39" t="s">
        <v>84</v>
      </c>
      <c r="G112" s="39">
        <v>2</v>
      </c>
      <c r="K112" s="39" t="s">
        <v>85</v>
      </c>
      <c r="L112" s="144">
        <v>255</v>
      </c>
      <c r="P112" s="39" t="s">
        <v>4</v>
      </c>
      <c r="Q112" s="39" t="s">
        <v>91</v>
      </c>
      <c r="R112" s="39" t="s">
        <v>181</v>
      </c>
    </row>
    <row r="113" spans="1:18" x14ac:dyDescent="0.25">
      <c r="A113" s="39" t="s">
        <v>184</v>
      </c>
      <c r="B113" s="39" t="s">
        <v>96</v>
      </c>
      <c r="C113" s="39" t="s">
        <v>96</v>
      </c>
      <c r="E113" s="39" t="s">
        <v>84</v>
      </c>
      <c r="G113" s="39">
        <v>2</v>
      </c>
      <c r="K113" s="39" t="s">
        <v>93</v>
      </c>
      <c r="P113" s="39" t="s">
        <v>4</v>
      </c>
      <c r="Q113" s="39" t="s">
        <v>94</v>
      </c>
      <c r="R113" s="39" t="s">
        <v>181</v>
      </c>
    </row>
    <row r="114" spans="1:18" s="145" customFormat="1" x14ac:dyDescent="0.25">
      <c r="A114" s="145" t="s">
        <v>261</v>
      </c>
      <c r="B114" s="145" t="s">
        <v>262</v>
      </c>
      <c r="C114" s="145" t="s">
        <v>262</v>
      </c>
      <c r="D114" s="145" t="s">
        <v>178</v>
      </c>
      <c r="G114" s="145" t="s">
        <v>179</v>
      </c>
      <c r="H114" s="146"/>
      <c r="K114" s="145" t="s">
        <v>107</v>
      </c>
      <c r="L114" s="146"/>
      <c r="N114" s="146" t="s">
        <v>180</v>
      </c>
      <c r="O114" s="146"/>
      <c r="P114" s="145" t="s">
        <v>4</v>
      </c>
      <c r="R114" s="145" t="s">
        <v>181</v>
      </c>
    </row>
    <row r="115" spans="1:18" x14ac:dyDescent="0.25">
      <c r="A115" s="39" t="s">
        <v>261</v>
      </c>
      <c r="B115" s="39" t="s">
        <v>105</v>
      </c>
      <c r="C115" s="39" t="s">
        <v>105</v>
      </c>
      <c r="D115" s="39" t="s">
        <v>182</v>
      </c>
      <c r="G115" s="39" t="s">
        <v>179</v>
      </c>
      <c r="K115" s="39" t="s">
        <v>85</v>
      </c>
      <c r="L115" s="144">
        <v>255</v>
      </c>
      <c r="P115" s="39" t="s">
        <v>4</v>
      </c>
    </row>
    <row r="116" spans="1:18" x14ac:dyDescent="0.25">
      <c r="A116" s="39" t="s">
        <v>261</v>
      </c>
      <c r="B116" s="39" t="s">
        <v>263</v>
      </c>
      <c r="C116" s="39" t="s">
        <v>263</v>
      </c>
      <c r="K116" s="39" t="s">
        <v>85</v>
      </c>
      <c r="L116" s="144">
        <v>50</v>
      </c>
    </row>
    <row r="117" spans="1:18" x14ac:dyDescent="0.25">
      <c r="A117" s="39" t="s">
        <v>261</v>
      </c>
      <c r="B117" s="39" t="s">
        <v>21</v>
      </c>
      <c r="C117" s="39" t="s">
        <v>21</v>
      </c>
      <c r="K117" s="39" t="s">
        <v>85</v>
      </c>
      <c r="L117" s="144">
        <v>50</v>
      </c>
    </row>
    <row r="118" spans="1:18" x14ac:dyDescent="0.25">
      <c r="A118" s="39" t="s">
        <v>261</v>
      </c>
      <c r="B118" s="39" t="s">
        <v>87</v>
      </c>
      <c r="C118" s="39" t="s">
        <v>87</v>
      </c>
      <c r="E118" s="39" t="s">
        <v>84</v>
      </c>
      <c r="G118" s="39">
        <v>2</v>
      </c>
      <c r="K118" s="39" t="s">
        <v>88</v>
      </c>
      <c r="P118" s="39" t="s">
        <v>4</v>
      </c>
    </row>
    <row r="119" spans="1:18" x14ac:dyDescent="0.25">
      <c r="A119" s="39" t="s">
        <v>261</v>
      </c>
      <c r="B119" s="39" t="s">
        <v>89</v>
      </c>
      <c r="C119" s="39" t="s">
        <v>89</v>
      </c>
      <c r="E119" s="39" t="s">
        <v>84</v>
      </c>
      <c r="G119" s="39">
        <v>2</v>
      </c>
      <c r="K119" s="39" t="s">
        <v>88</v>
      </c>
      <c r="P119" s="39" t="s">
        <v>4</v>
      </c>
      <c r="R119" s="39" t="s">
        <v>181</v>
      </c>
    </row>
    <row r="120" spans="1:18" x14ac:dyDescent="0.25">
      <c r="A120" s="39" t="s">
        <v>261</v>
      </c>
      <c r="B120" s="39" t="s">
        <v>90</v>
      </c>
      <c r="C120" s="39" t="s">
        <v>90</v>
      </c>
      <c r="E120" s="39" t="s">
        <v>84</v>
      </c>
      <c r="G120" s="39">
        <v>2</v>
      </c>
      <c r="K120" s="39" t="s">
        <v>85</v>
      </c>
      <c r="L120" s="144">
        <v>255</v>
      </c>
      <c r="P120" s="39" t="s">
        <v>4</v>
      </c>
      <c r="Q120" s="39" t="s">
        <v>91</v>
      </c>
      <c r="R120" s="39" t="s">
        <v>181</v>
      </c>
    </row>
    <row r="121" spans="1:18" x14ac:dyDescent="0.25">
      <c r="A121" s="39" t="s">
        <v>261</v>
      </c>
      <c r="B121" s="39" t="s">
        <v>92</v>
      </c>
      <c r="C121" s="39" t="s">
        <v>92</v>
      </c>
      <c r="E121" s="39" t="s">
        <v>84</v>
      </c>
      <c r="G121" s="39">
        <v>2</v>
      </c>
      <c r="K121" s="39" t="s">
        <v>93</v>
      </c>
      <c r="P121" s="39" t="s">
        <v>4</v>
      </c>
      <c r="Q121" s="39" t="s">
        <v>94</v>
      </c>
      <c r="R121" s="39" t="s">
        <v>181</v>
      </c>
    </row>
    <row r="122" spans="1:18" x14ac:dyDescent="0.25">
      <c r="A122" s="39" t="s">
        <v>261</v>
      </c>
      <c r="B122" s="39" t="s">
        <v>95</v>
      </c>
      <c r="C122" s="39" t="s">
        <v>95</v>
      </c>
      <c r="E122" s="39" t="s">
        <v>84</v>
      </c>
      <c r="G122" s="39">
        <v>2</v>
      </c>
      <c r="K122" s="39" t="s">
        <v>85</v>
      </c>
      <c r="L122" s="144">
        <v>255</v>
      </c>
      <c r="P122" s="39" t="s">
        <v>4</v>
      </c>
      <c r="Q122" s="39" t="s">
        <v>91</v>
      </c>
      <c r="R122" s="39" t="s">
        <v>181</v>
      </c>
    </row>
    <row r="123" spans="1:18" x14ac:dyDescent="0.25">
      <c r="A123" s="39" t="s">
        <v>261</v>
      </c>
      <c r="B123" s="39" t="s">
        <v>96</v>
      </c>
      <c r="C123" s="39" t="s">
        <v>96</v>
      </c>
      <c r="E123" s="39" t="s">
        <v>84</v>
      </c>
      <c r="G123" s="39">
        <v>2</v>
      </c>
      <c r="K123" s="39" t="s">
        <v>93</v>
      </c>
      <c r="P123" s="39" t="s">
        <v>4</v>
      </c>
      <c r="Q123" s="39" t="s">
        <v>94</v>
      </c>
      <c r="R123" s="39" t="s">
        <v>181</v>
      </c>
    </row>
    <row r="124" spans="1:18" s="145" customFormat="1" x14ac:dyDescent="0.25">
      <c r="A124" s="145" t="s">
        <v>7</v>
      </c>
      <c r="B124" s="145" t="s">
        <v>122</v>
      </c>
      <c r="C124" s="145" t="s">
        <v>122</v>
      </c>
      <c r="D124" s="145" t="s">
        <v>178</v>
      </c>
      <c r="G124" s="145" t="s">
        <v>179</v>
      </c>
      <c r="H124" s="146"/>
      <c r="K124" s="145" t="s">
        <v>107</v>
      </c>
      <c r="L124" s="146"/>
      <c r="N124" s="146" t="s">
        <v>180</v>
      </c>
      <c r="O124" s="146"/>
      <c r="P124" s="145" t="s">
        <v>4</v>
      </c>
      <c r="R124" s="145" t="s">
        <v>181</v>
      </c>
    </row>
    <row r="125" spans="1:18" x14ac:dyDescent="0.25">
      <c r="A125" s="39" t="s">
        <v>7</v>
      </c>
      <c r="B125" s="39" t="s">
        <v>105</v>
      </c>
      <c r="C125" s="39" t="s">
        <v>105</v>
      </c>
      <c r="D125" s="39" t="s">
        <v>182</v>
      </c>
      <c r="G125" s="39" t="s">
        <v>179</v>
      </c>
      <c r="K125" s="39" t="s">
        <v>85</v>
      </c>
      <c r="L125" s="144">
        <v>255</v>
      </c>
      <c r="P125" s="39" t="s">
        <v>4</v>
      </c>
    </row>
    <row r="126" spans="1:18" x14ac:dyDescent="0.25">
      <c r="A126" s="39" t="s">
        <v>7</v>
      </c>
      <c r="B126" s="39" t="s">
        <v>109</v>
      </c>
      <c r="C126" s="39" t="s">
        <v>109</v>
      </c>
      <c r="K126" s="39" t="s">
        <v>110</v>
      </c>
      <c r="L126" s="144">
        <v>3</v>
      </c>
    </row>
    <row r="127" spans="1:18" x14ac:dyDescent="0.25">
      <c r="A127" s="39" t="s">
        <v>7</v>
      </c>
      <c r="B127" s="39" t="s">
        <v>6</v>
      </c>
      <c r="C127" s="39" t="s">
        <v>6</v>
      </c>
      <c r="K127" s="39" t="s">
        <v>85</v>
      </c>
      <c r="L127" s="144">
        <v>255</v>
      </c>
    </row>
    <row r="128" spans="1:18" x14ac:dyDescent="0.25">
      <c r="A128" s="39" t="s">
        <v>7</v>
      </c>
      <c r="B128" s="39" t="s">
        <v>264</v>
      </c>
      <c r="C128" s="39" t="s">
        <v>264</v>
      </c>
      <c r="K128" s="39" t="s">
        <v>85</v>
      </c>
      <c r="L128" s="144">
        <v>3</v>
      </c>
    </row>
    <row r="129" spans="1:18" x14ac:dyDescent="0.25">
      <c r="A129" s="39" t="s">
        <v>7</v>
      </c>
      <c r="B129" s="39" t="s">
        <v>87</v>
      </c>
      <c r="C129" s="39" t="s">
        <v>87</v>
      </c>
      <c r="E129" s="39" t="s">
        <v>84</v>
      </c>
      <c r="G129" s="39">
        <v>2</v>
      </c>
      <c r="K129" s="39" t="s">
        <v>88</v>
      </c>
      <c r="P129" s="39" t="s">
        <v>4</v>
      </c>
    </row>
    <row r="130" spans="1:18" x14ac:dyDescent="0.25">
      <c r="A130" s="39" t="s">
        <v>7</v>
      </c>
      <c r="B130" s="39" t="s">
        <v>89</v>
      </c>
      <c r="C130" s="39" t="s">
        <v>89</v>
      </c>
      <c r="E130" s="39" t="s">
        <v>84</v>
      </c>
      <c r="G130" s="39">
        <v>2</v>
      </c>
      <c r="K130" s="39" t="s">
        <v>88</v>
      </c>
      <c r="P130" s="39" t="s">
        <v>4</v>
      </c>
      <c r="R130" s="39" t="s">
        <v>181</v>
      </c>
    </row>
    <row r="131" spans="1:18" x14ac:dyDescent="0.25">
      <c r="A131" s="39" t="s">
        <v>7</v>
      </c>
      <c r="B131" s="39" t="s">
        <v>90</v>
      </c>
      <c r="C131" s="39" t="s">
        <v>90</v>
      </c>
      <c r="E131" s="39" t="s">
        <v>84</v>
      </c>
      <c r="G131" s="39">
        <v>2</v>
      </c>
      <c r="K131" s="39" t="s">
        <v>85</v>
      </c>
      <c r="L131" s="144">
        <v>255</v>
      </c>
      <c r="P131" s="39" t="s">
        <v>4</v>
      </c>
      <c r="Q131" s="39" t="s">
        <v>91</v>
      </c>
      <c r="R131" s="39" t="s">
        <v>181</v>
      </c>
    </row>
    <row r="132" spans="1:18" x14ac:dyDescent="0.25">
      <c r="A132" s="39" t="s">
        <v>7</v>
      </c>
      <c r="B132" s="39" t="s">
        <v>92</v>
      </c>
      <c r="C132" s="39" t="s">
        <v>92</v>
      </c>
      <c r="E132" s="39" t="s">
        <v>84</v>
      </c>
      <c r="G132" s="39">
        <v>2</v>
      </c>
      <c r="K132" s="39" t="s">
        <v>93</v>
      </c>
      <c r="P132" s="39" t="s">
        <v>4</v>
      </c>
      <c r="Q132" s="39" t="s">
        <v>94</v>
      </c>
      <c r="R132" s="39" t="s">
        <v>181</v>
      </c>
    </row>
    <row r="133" spans="1:18" x14ac:dyDescent="0.25">
      <c r="A133" s="39" t="s">
        <v>7</v>
      </c>
      <c r="B133" s="39" t="s">
        <v>95</v>
      </c>
      <c r="C133" s="39" t="s">
        <v>95</v>
      </c>
      <c r="E133" s="39" t="s">
        <v>84</v>
      </c>
      <c r="G133" s="39">
        <v>2</v>
      </c>
      <c r="K133" s="39" t="s">
        <v>85</v>
      </c>
      <c r="L133" s="144">
        <v>255</v>
      </c>
      <c r="P133" s="39" t="s">
        <v>4</v>
      </c>
      <c r="Q133" s="39" t="s">
        <v>91</v>
      </c>
      <c r="R133" s="39" t="s">
        <v>181</v>
      </c>
    </row>
    <row r="134" spans="1:18" x14ac:dyDescent="0.25">
      <c r="A134" s="39" t="s">
        <v>7</v>
      </c>
      <c r="B134" s="39" t="s">
        <v>96</v>
      </c>
      <c r="C134" s="39" t="s">
        <v>96</v>
      </c>
      <c r="E134" s="39" t="s">
        <v>84</v>
      </c>
      <c r="G134" s="39">
        <v>2</v>
      </c>
      <c r="K134" s="39" t="s">
        <v>93</v>
      </c>
      <c r="P134" s="39" t="s">
        <v>4</v>
      </c>
      <c r="Q134" s="39" t="s">
        <v>94</v>
      </c>
      <c r="R134" s="39" t="s">
        <v>181</v>
      </c>
    </row>
    <row r="135" spans="1:18" s="145" customFormat="1" x14ac:dyDescent="0.25">
      <c r="A135" s="145" t="s">
        <v>200</v>
      </c>
      <c r="B135" s="145" t="s">
        <v>199</v>
      </c>
      <c r="C135" s="145" t="s">
        <v>199</v>
      </c>
      <c r="D135" s="145" t="s">
        <v>178</v>
      </c>
      <c r="G135" s="145" t="s">
        <v>179</v>
      </c>
      <c r="H135" s="146"/>
      <c r="K135" s="145" t="s">
        <v>107</v>
      </c>
      <c r="L135" s="146"/>
      <c r="N135" s="146" t="s">
        <v>180</v>
      </c>
      <c r="O135" s="146"/>
      <c r="P135" s="145" t="s">
        <v>4</v>
      </c>
      <c r="R135" s="145" t="s">
        <v>181</v>
      </c>
    </row>
    <row r="136" spans="1:18" x14ac:dyDescent="0.25">
      <c r="A136" s="39" t="s">
        <v>200</v>
      </c>
      <c r="B136" s="39" t="s">
        <v>105</v>
      </c>
      <c r="C136" s="39" t="s">
        <v>105</v>
      </c>
      <c r="D136" s="39" t="s">
        <v>182</v>
      </c>
      <c r="G136" s="39" t="s">
        <v>179</v>
      </c>
      <c r="K136" s="39" t="s">
        <v>85</v>
      </c>
      <c r="L136" s="144">
        <v>255</v>
      </c>
      <c r="P136" s="39" t="s">
        <v>4</v>
      </c>
    </row>
    <row r="137" spans="1:18" x14ac:dyDescent="0.25">
      <c r="A137" s="39" t="s">
        <v>200</v>
      </c>
      <c r="B137" s="39" t="s">
        <v>265</v>
      </c>
      <c r="C137" s="39" t="s">
        <v>265</v>
      </c>
      <c r="K137" s="39" t="s">
        <v>85</v>
      </c>
      <c r="L137" s="144">
        <v>255</v>
      </c>
    </row>
    <row r="138" spans="1:18" x14ac:dyDescent="0.25">
      <c r="A138" s="39" t="s">
        <v>200</v>
      </c>
      <c r="B138" s="39" t="s">
        <v>21</v>
      </c>
      <c r="C138" s="39" t="s">
        <v>21</v>
      </c>
      <c r="K138" s="39" t="s">
        <v>85</v>
      </c>
      <c r="L138" s="144">
        <v>1000</v>
      </c>
    </row>
    <row r="139" spans="1:18" x14ac:dyDescent="0.25">
      <c r="A139" s="39" t="s">
        <v>200</v>
      </c>
      <c r="B139" s="39" t="s">
        <v>87</v>
      </c>
      <c r="C139" s="39" t="s">
        <v>87</v>
      </c>
      <c r="E139" s="39" t="s">
        <v>84</v>
      </c>
      <c r="G139" s="39">
        <v>2</v>
      </c>
      <c r="K139" s="39" t="s">
        <v>88</v>
      </c>
      <c r="P139" s="39" t="s">
        <v>4</v>
      </c>
    </row>
    <row r="140" spans="1:18" x14ac:dyDescent="0.25">
      <c r="A140" s="39" t="s">
        <v>200</v>
      </c>
      <c r="B140" s="39" t="s">
        <v>89</v>
      </c>
      <c r="C140" s="39" t="s">
        <v>89</v>
      </c>
      <c r="E140" s="39" t="s">
        <v>84</v>
      </c>
      <c r="G140" s="39">
        <v>2</v>
      </c>
      <c r="K140" s="39" t="s">
        <v>88</v>
      </c>
      <c r="P140" s="39" t="s">
        <v>4</v>
      </c>
      <c r="R140" s="39" t="s">
        <v>181</v>
      </c>
    </row>
    <row r="141" spans="1:18" x14ac:dyDescent="0.25">
      <c r="A141" s="39" t="s">
        <v>200</v>
      </c>
      <c r="B141" s="39" t="s">
        <v>90</v>
      </c>
      <c r="C141" s="39" t="s">
        <v>90</v>
      </c>
      <c r="E141" s="39" t="s">
        <v>84</v>
      </c>
      <c r="G141" s="39">
        <v>2</v>
      </c>
      <c r="K141" s="39" t="s">
        <v>85</v>
      </c>
      <c r="L141" s="144">
        <v>255</v>
      </c>
      <c r="P141" s="39" t="s">
        <v>4</v>
      </c>
      <c r="Q141" s="39" t="s">
        <v>91</v>
      </c>
      <c r="R141" s="39" t="s">
        <v>181</v>
      </c>
    </row>
    <row r="142" spans="1:18" x14ac:dyDescent="0.25">
      <c r="A142" s="39" t="s">
        <v>200</v>
      </c>
      <c r="B142" s="39" t="s">
        <v>92</v>
      </c>
      <c r="C142" s="39" t="s">
        <v>92</v>
      </c>
      <c r="E142" s="39" t="s">
        <v>84</v>
      </c>
      <c r="G142" s="39">
        <v>2</v>
      </c>
      <c r="K142" s="39" t="s">
        <v>93</v>
      </c>
      <c r="P142" s="39" t="s">
        <v>4</v>
      </c>
      <c r="Q142" s="39" t="s">
        <v>94</v>
      </c>
      <c r="R142" s="39" t="s">
        <v>181</v>
      </c>
    </row>
    <row r="143" spans="1:18" x14ac:dyDescent="0.25">
      <c r="A143" s="39" t="s">
        <v>200</v>
      </c>
      <c r="B143" s="39" t="s">
        <v>95</v>
      </c>
      <c r="C143" s="39" t="s">
        <v>95</v>
      </c>
      <c r="E143" s="39" t="s">
        <v>84</v>
      </c>
      <c r="G143" s="39">
        <v>2</v>
      </c>
      <c r="K143" s="39" t="s">
        <v>85</v>
      </c>
      <c r="L143" s="144">
        <v>255</v>
      </c>
      <c r="P143" s="39" t="s">
        <v>4</v>
      </c>
      <c r="Q143" s="39" t="s">
        <v>91</v>
      </c>
      <c r="R143" s="39" t="s">
        <v>181</v>
      </c>
    </row>
    <row r="144" spans="1:18" x14ac:dyDescent="0.25">
      <c r="A144" s="39" t="s">
        <v>200</v>
      </c>
      <c r="B144" s="39" t="s">
        <v>96</v>
      </c>
      <c r="C144" s="39" t="s">
        <v>96</v>
      </c>
      <c r="E144" s="39" t="s">
        <v>84</v>
      </c>
      <c r="G144" s="39">
        <v>2</v>
      </c>
      <c r="K144" s="39" t="s">
        <v>93</v>
      </c>
      <c r="P144" s="39" t="s">
        <v>4</v>
      </c>
      <c r="Q144" s="39" t="s">
        <v>94</v>
      </c>
      <c r="R144" s="39" t="s">
        <v>181</v>
      </c>
    </row>
    <row r="145" spans="1:18" s="145" customFormat="1" x14ac:dyDescent="0.25">
      <c r="A145" s="145" t="s">
        <v>266</v>
      </c>
      <c r="B145" s="145" t="s">
        <v>267</v>
      </c>
      <c r="C145" s="145" t="s">
        <v>267</v>
      </c>
      <c r="D145" s="145" t="s">
        <v>178</v>
      </c>
      <c r="G145" s="145" t="s">
        <v>179</v>
      </c>
      <c r="H145" s="146"/>
      <c r="K145" s="145" t="s">
        <v>107</v>
      </c>
      <c r="L145" s="146"/>
      <c r="N145" s="146" t="s">
        <v>180</v>
      </c>
      <c r="O145" s="146"/>
      <c r="P145" s="145" t="s">
        <v>4</v>
      </c>
      <c r="R145" s="145" t="s">
        <v>181</v>
      </c>
    </row>
    <row r="146" spans="1:18" x14ac:dyDescent="0.25">
      <c r="A146" s="39" t="s">
        <v>266</v>
      </c>
      <c r="B146" s="39" t="s">
        <v>105</v>
      </c>
      <c r="C146" s="39" t="s">
        <v>105</v>
      </c>
      <c r="D146" s="39" t="s">
        <v>182</v>
      </c>
      <c r="G146" s="39" t="s">
        <v>179</v>
      </c>
      <c r="K146" s="39" t="s">
        <v>85</v>
      </c>
      <c r="L146" s="144">
        <v>255</v>
      </c>
      <c r="P146" s="39" t="s">
        <v>4</v>
      </c>
    </row>
    <row r="147" spans="1:18" x14ac:dyDescent="0.25">
      <c r="A147" s="39" t="s">
        <v>266</v>
      </c>
      <c r="B147" s="39" t="s">
        <v>268</v>
      </c>
      <c r="C147" s="39" t="s">
        <v>268</v>
      </c>
      <c r="K147" s="39" t="s">
        <v>85</v>
      </c>
      <c r="L147" s="144">
        <v>255</v>
      </c>
      <c r="P147" s="39" t="s">
        <v>4</v>
      </c>
    </row>
    <row r="148" spans="1:18" x14ac:dyDescent="0.25">
      <c r="A148" s="39" t="s">
        <v>266</v>
      </c>
      <c r="B148" s="39" t="s">
        <v>269</v>
      </c>
      <c r="C148" s="39" t="s">
        <v>269</v>
      </c>
      <c r="K148" s="39" t="s">
        <v>85</v>
      </c>
      <c r="L148" s="144">
        <v>255</v>
      </c>
      <c r="P148" s="39" t="s">
        <v>4</v>
      </c>
    </row>
    <row r="149" spans="1:18" x14ac:dyDescent="0.25">
      <c r="A149" s="39" t="s">
        <v>266</v>
      </c>
      <c r="B149" s="39" t="s">
        <v>87</v>
      </c>
      <c r="C149" s="39" t="s">
        <v>87</v>
      </c>
      <c r="E149" s="39" t="s">
        <v>84</v>
      </c>
      <c r="G149" s="39">
        <v>2</v>
      </c>
      <c r="K149" s="39" t="s">
        <v>88</v>
      </c>
      <c r="P149" s="39" t="s">
        <v>4</v>
      </c>
    </row>
    <row r="150" spans="1:18" x14ac:dyDescent="0.25">
      <c r="A150" s="39" t="s">
        <v>266</v>
      </c>
      <c r="B150" s="39" t="s">
        <v>89</v>
      </c>
      <c r="C150" s="39" t="s">
        <v>89</v>
      </c>
      <c r="E150" s="39" t="s">
        <v>84</v>
      </c>
      <c r="G150" s="39">
        <v>2</v>
      </c>
      <c r="K150" s="39" t="s">
        <v>88</v>
      </c>
      <c r="P150" s="39" t="s">
        <v>4</v>
      </c>
      <c r="R150" s="39" t="s">
        <v>181</v>
      </c>
    </row>
    <row r="151" spans="1:18" x14ac:dyDescent="0.25">
      <c r="A151" s="39" t="s">
        <v>266</v>
      </c>
      <c r="B151" s="39" t="s">
        <v>90</v>
      </c>
      <c r="C151" s="39" t="s">
        <v>90</v>
      </c>
      <c r="E151" s="39" t="s">
        <v>84</v>
      </c>
      <c r="G151" s="39">
        <v>2</v>
      </c>
      <c r="K151" s="39" t="s">
        <v>85</v>
      </c>
      <c r="L151" s="144">
        <v>255</v>
      </c>
      <c r="P151" s="39" t="s">
        <v>4</v>
      </c>
      <c r="Q151" s="39" t="s">
        <v>91</v>
      </c>
      <c r="R151" s="39" t="s">
        <v>181</v>
      </c>
    </row>
    <row r="152" spans="1:18" x14ac:dyDescent="0.25">
      <c r="A152" s="39" t="s">
        <v>266</v>
      </c>
      <c r="B152" s="39" t="s">
        <v>92</v>
      </c>
      <c r="C152" s="39" t="s">
        <v>92</v>
      </c>
      <c r="E152" s="39" t="s">
        <v>84</v>
      </c>
      <c r="G152" s="39">
        <v>2</v>
      </c>
      <c r="K152" s="39" t="s">
        <v>93</v>
      </c>
      <c r="P152" s="39" t="s">
        <v>4</v>
      </c>
      <c r="Q152" s="39" t="s">
        <v>94</v>
      </c>
      <c r="R152" s="39" t="s">
        <v>181</v>
      </c>
    </row>
    <row r="153" spans="1:18" x14ac:dyDescent="0.25">
      <c r="A153" s="39" t="s">
        <v>266</v>
      </c>
      <c r="B153" s="39" t="s">
        <v>95</v>
      </c>
      <c r="C153" s="39" t="s">
        <v>95</v>
      </c>
      <c r="E153" s="39" t="s">
        <v>84</v>
      </c>
      <c r="G153" s="39">
        <v>2</v>
      </c>
      <c r="K153" s="39" t="s">
        <v>85</v>
      </c>
      <c r="L153" s="144">
        <v>255</v>
      </c>
      <c r="P153" s="39" t="s">
        <v>4</v>
      </c>
      <c r="Q153" s="39" t="s">
        <v>91</v>
      </c>
      <c r="R153" s="39" t="s">
        <v>181</v>
      </c>
    </row>
    <row r="154" spans="1:18" x14ac:dyDescent="0.25">
      <c r="A154" s="39" t="s">
        <v>266</v>
      </c>
      <c r="B154" s="39" t="s">
        <v>96</v>
      </c>
      <c r="C154" s="39" t="s">
        <v>96</v>
      </c>
      <c r="E154" s="39" t="s">
        <v>84</v>
      </c>
      <c r="G154" s="39">
        <v>2</v>
      </c>
      <c r="K154" s="39" t="s">
        <v>93</v>
      </c>
      <c r="P154" s="39" t="s">
        <v>4</v>
      </c>
      <c r="Q154" s="39" t="s">
        <v>94</v>
      </c>
      <c r="R154" s="39" t="s">
        <v>181</v>
      </c>
    </row>
    <row r="155" spans="1:18" s="145" customFormat="1" x14ac:dyDescent="0.25">
      <c r="A155" s="145" t="s">
        <v>188</v>
      </c>
      <c r="B155" s="145" t="s">
        <v>187</v>
      </c>
      <c r="C155" s="145" t="s">
        <v>187</v>
      </c>
      <c r="D155" s="145" t="s">
        <v>178</v>
      </c>
      <c r="G155" s="145" t="s">
        <v>179</v>
      </c>
      <c r="H155" s="146"/>
      <c r="K155" s="145" t="s">
        <v>107</v>
      </c>
      <c r="L155" s="146"/>
      <c r="N155" s="146" t="s">
        <v>180</v>
      </c>
      <c r="O155" s="146"/>
      <c r="P155" s="145" t="s">
        <v>4</v>
      </c>
      <c r="R155" s="145" t="s">
        <v>181</v>
      </c>
    </row>
    <row r="156" spans="1:18" x14ac:dyDescent="0.25">
      <c r="A156" s="39" t="s">
        <v>188</v>
      </c>
      <c r="B156" s="39" t="s">
        <v>105</v>
      </c>
      <c r="C156" s="39" t="s">
        <v>105</v>
      </c>
      <c r="D156" s="39" t="s">
        <v>182</v>
      </c>
      <c r="G156" s="39" t="s">
        <v>179</v>
      </c>
      <c r="K156" s="39" t="s">
        <v>85</v>
      </c>
      <c r="L156" s="144">
        <v>255</v>
      </c>
      <c r="P156" s="39" t="s">
        <v>4</v>
      </c>
    </row>
    <row r="157" spans="1:18" x14ac:dyDescent="0.25">
      <c r="A157" s="39" t="s">
        <v>188</v>
      </c>
      <c r="B157" s="39" t="s">
        <v>270</v>
      </c>
      <c r="C157" s="39" t="s">
        <v>270</v>
      </c>
      <c r="K157" s="39" t="s">
        <v>85</v>
      </c>
      <c r="L157" s="144">
        <v>255</v>
      </c>
    </row>
    <row r="158" spans="1:18" x14ac:dyDescent="0.25">
      <c r="A158" s="39" t="s">
        <v>188</v>
      </c>
      <c r="B158" s="39" t="s">
        <v>21</v>
      </c>
      <c r="C158" s="39" t="s">
        <v>21</v>
      </c>
      <c r="K158" s="39" t="s">
        <v>85</v>
      </c>
      <c r="L158" s="144">
        <v>1000</v>
      </c>
    </row>
    <row r="159" spans="1:18" x14ac:dyDescent="0.25">
      <c r="A159" s="39" t="s">
        <v>188</v>
      </c>
      <c r="B159" s="39" t="s">
        <v>87</v>
      </c>
      <c r="C159" s="39" t="s">
        <v>87</v>
      </c>
      <c r="E159" s="39" t="s">
        <v>84</v>
      </c>
      <c r="G159" s="39">
        <v>2</v>
      </c>
      <c r="K159" s="39" t="s">
        <v>88</v>
      </c>
      <c r="P159" s="39" t="s">
        <v>4</v>
      </c>
    </row>
    <row r="160" spans="1:18" x14ac:dyDescent="0.25">
      <c r="A160" s="39" t="s">
        <v>188</v>
      </c>
      <c r="B160" s="39" t="s">
        <v>89</v>
      </c>
      <c r="C160" s="39" t="s">
        <v>89</v>
      </c>
      <c r="E160" s="39" t="s">
        <v>84</v>
      </c>
      <c r="G160" s="39">
        <v>2</v>
      </c>
      <c r="K160" s="39" t="s">
        <v>88</v>
      </c>
      <c r="P160" s="39" t="s">
        <v>4</v>
      </c>
      <c r="R160" s="39" t="s">
        <v>181</v>
      </c>
    </row>
    <row r="161" spans="1:18" x14ac:dyDescent="0.25">
      <c r="A161" s="39" t="s">
        <v>188</v>
      </c>
      <c r="B161" s="39" t="s">
        <v>90</v>
      </c>
      <c r="C161" s="39" t="s">
        <v>90</v>
      </c>
      <c r="E161" s="39" t="s">
        <v>84</v>
      </c>
      <c r="G161" s="39">
        <v>2</v>
      </c>
      <c r="K161" s="39" t="s">
        <v>85</v>
      </c>
      <c r="L161" s="144">
        <v>255</v>
      </c>
      <c r="P161" s="39" t="s">
        <v>4</v>
      </c>
      <c r="Q161" s="39" t="s">
        <v>91</v>
      </c>
      <c r="R161" s="39" t="s">
        <v>181</v>
      </c>
    </row>
    <row r="162" spans="1:18" x14ac:dyDescent="0.25">
      <c r="A162" s="39" t="s">
        <v>188</v>
      </c>
      <c r="B162" s="39" t="s">
        <v>92</v>
      </c>
      <c r="C162" s="39" t="s">
        <v>92</v>
      </c>
      <c r="E162" s="39" t="s">
        <v>84</v>
      </c>
      <c r="G162" s="39">
        <v>2</v>
      </c>
      <c r="K162" s="39" t="s">
        <v>93</v>
      </c>
      <c r="P162" s="39" t="s">
        <v>4</v>
      </c>
      <c r="Q162" s="39" t="s">
        <v>94</v>
      </c>
      <c r="R162" s="39" t="s">
        <v>181</v>
      </c>
    </row>
    <row r="163" spans="1:18" x14ac:dyDescent="0.25">
      <c r="A163" s="39" t="s">
        <v>188</v>
      </c>
      <c r="B163" s="39" t="s">
        <v>95</v>
      </c>
      <c r="C163" s="39" t="s">
        <v>95</v>
      </c>
      <c r="E163" s="39" t="s">
        <v>84</v>
      </c>
      <c r="G163" s="39">
        <v>2</v>
      </c>
      <c r="K163" s="39" t="s">
        <v>85</v>
      </c>
      <c r="L163" s="144">
        <v>255</v>
      </c>
      <c r="P163" s="39" t="s">
        <v>4</v>
      </c>
      <c r="Q163" s="39" t="s">
        <v>91</v>
      </c>
      <c r="R163" s="39" t="s">
        <v>181</v>
      </c>
    </row>
    <row r="164" spans="1:18" x14ac:dyDescent="0.25">
      <c r="A164" s="39" t="s">
        <v>188</v>
      </c>
      <c r="B164" s="39" t="s">
        <v>96</v>
      </c>
      <c r="C164" s="39" t="s">
        <v>96</v>
      </c>
      <c r="E164" s="39" t="s">
        <v>84</v>
      </c>
      <c r="G164" s="39">
        <v>2</v>
      </c>
      <c r="K164" s="39" t="s">
        <v>93</v>
      </c>
      <c r="P164" s="39" t="s">
        <v>4</v>
      </c>
      <c r="Q164" s="39" t="s">
        <v>94</v>
      </c>
      <c r="R164" s="39" t="s">
        <v>181</v>
      </c>
    </row>
    <row r="165" spans="1:18" s="145" customFormat="1" x14ac:dyDescent="0.25">
      <c r="A165" s="145" t="s">
        <v>192</v>
      </c>
      <c r="B165" s="145" t="s">
        <v>271</v>
      </c>
      <c r="C165" s="145" t="s">
        <v>271</v>
      </c>
      <c r="D165" s="145" t="s">
        <v>178</v>
      </c>
      <c r="G165" s="145" t="s">
        <v>179</v>
      </c>
      <c r="H165" s="146"/>
      <c r="K165" s="145" t="s">
        <v>107</v>
      </c>
      <c r="L165" s="146"/>
      <c r="N165" s="146" t="s">
        <v>180</v>
      </c>
      <c r="O165" s="146"/>
      <c r="P165" s="145" t="s">
        <v>4</v>
      </c>
      <c r="R165" s="145" t="s">
        <v>181</v>
      </c>
    </row>
    <row r="166" spans="1:18" x14ac:dyDescent="0.25">
      <c r="A166" s="39" t="s">
        <v>192</v>
      </c>
      <c r="B166" s="39" t="s">
        <v>105</v>
      </c>
      <c r="C166" s="39" t="s">
        <v>105</v>
      </c>
      <c r="D166" s="39" t="s">
        <v>182</v>
      </c>
      <c r="G166" s="39" t="s">
        <v>179</v>
      </c>
      <c r="K166" s="39" t="s">
        <v>85</v>
      </c>
      <c r="L166" s="144">
        <v>255</v>
      </c>
      <c r="P166" s="39" t="s">
        <v>4</v>
      </c>
    </row>
    <row r="167" spans="1:18" x14ac:dyDescent="0.25">
      <c r="A167" s="39" t="s">
        <v>192</v>
      </c>
      <c r="B167" s="39" t="s">
        <v>177</v>
      </c>
      <c r="C167" s="39" t="s">
        <v>177</v>
      </c>
      <c r="K167" s="39" t="s">
        <v>107</v>
      </c>
      <c r="N167" s="144" t="s">
        <v>108</v>
      </c>
      <c r="O167" s="144" t="s">
        <v>176</v>
      </c>
      <c r="P167" s="39" t="s">
        <v>4</v>
      </c>
    </row>
    <row r="168" spans="1:18" x14ac:dyDescent="0.25">
      <c r="A168" s="39" t="s">
        <v>192</v>
      </c>
      <c r="B168" s="39" t="s">
        <v>183</v>
      </c>
      <c r="C168" s="39" t="s">
        <v>183</v>
      </c>
      <c r="K168" s="39" t="s">
        <v>107</v>
      </c>
      <c r="N168" s="144" t="s">
        <v>108</v>
      </c>
      <c r="O168" s="144" t="s">
        <v>184</v>
      </c>
      <c r="P168" s="39" t="s">
        <v>4</v>
      </c>
    </row>
    <row r="169" spans="1:18" x14ac:dyDescent="0.25">
      <c r="A169" s="39" t="s">
        <v>192</v>
      </c>
      <c r="B169" s="39" t="s">
        <v>185</v>
      </c>
      <c r="C169" s="39" t="s">
        <v>185</v>
      </c>
      <c r="K169" s="39" t="s">
        <v>107</v>
      </c>
      <c r="N169" s="144" t="s">
        <v>108</v>
      </c>
      <c r="O169" s="144" t="s">
        <v>186</v>
      </c>
      <c r="P169" s="39" t="s">
        <v>4</v>
      </c>
    </row>
    <row r="170" spans="1:18" x14ac:dyDescent="0.25">
      <c r="A170" s="39" t="s">
        <v>192</v>
      </c>
      <c r="B170" s="39" t="s">
        <v>122</v>
      </c>
      <c r="C170" s="39" t="s">
        <v>122</v>
      </c>
      <c r="K170" s="39" t="s">
        <v>107</v>
      </c>
      <c r="N170" s="144" t="s">
        <v>108</v>
      </c>
      <c r="O170" s="144" t="s">
        <v>7</v>
      </c>
      <c r="P170" s="39" t="s">
        <v>4</v>
      </c>
    </row>
    <row r="171" spans="1:18" x14ac:dyDescent="0.25">
      <c r="A171" s="39" t="s">
        <v>192</v>
      </c>
      <c r="B171" s="39" t="s">
        <v>187</v>
      </c>
      <c r="C171" s="39" t="s">
        <v>187</v>
      </c>
      <c r="K171" s="39" t="s">
        <v>107</v>
      </c>
      <c r="N171" s="144" t="s">
        <v>108</v>
      </c>
      <c r="O171" s="144" t="s">
        <v>188</v>
      </c>
      <c r="P171" s="39" t="s">
        <v>4</v>
      </c>
    </row>
    <row r="172" spans="1:18" x14ac:dyDescent="0.25">
      <c r="A172" s="39" t="s">
        <v>192</v>
      </c>
      <c r="B172" s="39" t="s">
        <v>189</v>
      </c>
      <c r="C172" s="39" t="s">
        <v>189</v>
      </c>
      <c r="K172" s="39" t="s">
        <v>107</v>
      </c>
      <c r="N172" s="144" t="s">
        <v>108</v>
      </c>
      <c r="O172" s="144" t="s">
        <v>190</v>
      </c>
      <c r="P172" s="39" t="s">
        <v>4</v>
      </c>
    </row>
    <row r="173" spans="1:18" x14ac:dyDescent="0.25">
      <c r="A173" s="39" t="s">
        <v>192</v>
      </c>
      <c r="B173" s="39" t="s">
        <v>191</v>
      </c>
      <c r="C173" s="39" t="s">
        <v>191</v>
      </c>
      <c r="K173" s="39" t="s">
        <v>107</v>
      </c>
      <c r="N173" s="144" t="s">
        <v>108</v>
      </c>
      <c r="O173" s="144" t="s">
        <v>192</v>
      </c>
      <c r="P173" s="39" t="s">
        <v>4</v>
      </c>
    </row>
    <row r="174" spans="1:18" x14ac:dyDescent="0.25">
      <c r="A174" s="39" t="s">
        <v>192</v>
      </c>
      <c r="B174" s="39" t="s">
        <v>193</v>
      </c>
      <c r="C174" s="39" t="s">
        <v>193</v>
      </c>
      <c r="K174" s="39" t="s">
        <v>85</v>
      </c>
      <c r="L174" s="144">
        <v>20</v>
      </c>
    </row>
    <row r="175" spans="1:18" x14ac:dyDescent="0.25">
      <c r="A175" s="39" t="s">
        <v>192</v>
      </c>
      <c r="B175" s="39" t="s">
        <v>87</v>
      </c>
      <c r="C175" s="39" t="s">
        <v>87</v>
      </c>
      <c r="E175" s="39" t="s">
        <v>84</v>
      </c>
      <c r="G175" s="39">
        <v>2</v>
      </c>
      <c r="K175" s="39" t="s">
        <v>88</v>
      </c>
      <c r="P175" s="39" t="s">
        <v>4</v>
      </c>
    </row>
    <row r="176" spans="1:18" x14ac:dyDescent="0.25">
      <c r="A176" s="39" t="s">
        <v>192</v>
      </c>
      <c r="B176" s="39" t="s">
        <v>89</v>
      </c>
      <c r="C176" s="39" t="s">
        <v>89</v>
      </c>
      <c r="E176" s="39" t="s">
        <v>84</v>
      </c>
      <c r="G176" s="39">
        <v>2</v>
      </c>
      <c r="K176" s="39" t="s">
        <v>88</v>
      </c>
      <c r="P176" s="39" t="s">
        <v>4</v>
      </c>
      <c r="R176" s="39" t="s">
        <v>181</v>
      </c>
    </row>
    <row r="177" spans="1:18" x14ac:dyDescent="0.25">
      <c r="A177" s="39" t="s">
        <v>192</v>
      </c>
      <c r="B177" s="39" t="s">
        <v>90</v>
      </c>
      <c r="C177" s="39" t="s">
        <v>90</v>
      </c>
      <c r="E177" s="39" t="s">
        <v>84</v>
      </c>
      <c r="G177" s="39">
        <v>2</v>
      </c>
      <c r="K177" s="39" t="s">
        <v>85</v>
      </c>
      <c r="L177" s="144">
        <v>255</v>
      </c>
      <c r="P177" s="39" t="s">
        <v>4</v>
      </c>
      <c r="Q177" s="39" t="s">
        <v>91</v>
      </c>
      <c r="R177" s="39" t="s">
        <v>181</v>
      </c>
    </row>
    <row r="178" spans="1:18" x14ac:dyDescent="0.25">
      <c r="A178" s="39" t="s">
        <v>192</v>
      </c>
      <c r="B178" s="39" t="s">
        <v>92</v>
      </c>
      <c r="C178" s="39" t="s">
        <v>92</v>
      </c>
      <c r="E178" s="39" t="s">
        <v>84</v>
      </c>
      <c r="G178" s="39">
        <v>2</v>
      </c>
      <c r="K178" s="39" t="s">
        <v>93</v>
      </c>
      <c r="P178" s="39" t="s">
        <v>4</v>
      </c>
      <c r="Q178" s="39" t="s">
        <v>94</v>
      </c>
      <c r="R178" s="39" t="s">
        <v>181</v>
      </c>
    </row>
    <row r="179" spans="1:18" x14ac:dyDescent="0.25">
      <c r="A179" s="39" t="s">
        <v>192</v>
      </c>
      <c r="B179" s="39" t="s">
        <v>95</v>
      </c>
      <c r="C179" s="39" t="s">
        <v>95</v>
      </c>
      <c r="E179" s="39" t="s">
        <v>84</v>
      </c>
      <c r="G179" s="39">
        <v>2</v>
      </c>
      <c r="K179" s="39" t="s">
        <v>85</v>
      </c>
      <c r="L179" s="144">
        <v>255</v>
      </c>
      <c r="P179" s="39" t="s">
        <v>4</v>
      </c>
      <c r="Q179" s="39" t="s">
        <v>91</v>
      </c>
      <c r="R179" s="39" t="s">
        <v>181</v>
      </c>
    </row>
    <row r="180" spans="1:18" x14ac:dyDescent="0.25">
      <c r="A180" s="39" t="s">
        <v>192</v>
      </c>
      <c r="B180" s="39" t="s">
        <v>96</v>
      </c>
      <c r="C180" s="39" t="s">
        <v>96</v>
      </c>
      <c r="E180" s="39" t="s">
        <v>84</v>
      </c>
      <c r="G180" s="39">
        <v>2</v>
      </c>
      <c r="K180" s="39" t="s">
        <v>93</v>
      </c>
      <c r="P180" s="39" t="s">
        <v>4</v>
      </c>
      <c r="Q180" s="39" t="s">
        <v>94</v>
      </c>
      <c r="R180" s="39" t="s">
        <v>181</v>
      </c>
    </row>
    <row r="181" spans="1:18" s="145" customFormat="1" x14ac:dyDescent="0.25">
      <c r="A181" s="145" t="s">
        <v>272</v>
      </c>
      <c r="B181" s="145" t="s">
        <v>273</v>
      </c>
      <c r="C181" s="145" t="s">
        <v>273</v>
      </c>
      <c r="D181" s="145" t="s">
        <v>178</v>
      </c>
      <c r="G181" s="145" t="s">
        <v>179</v>
      </c>
      <c r="H181" s="146"/>
      <c r="K181" s="145" t="s">
        <v>107</v>
      </c>
      <c r="L181" s="146"/>
      <c r="N181" s="146" t="s">
        <v>180</v>
      </c>
      <c r="O181" s="146"/>
      <c r="P181" s="145" t="s">
        <v>4</v>
      </c>
      <c r="R181" s="145" t="s">
        <v>181</v>
      </c>
    </row>
    <row r="182" spans="1:18" x14ac:dyDescent="0.25">
      <c r="A182" s="39" t="s">
        <v>272</v>
      </c>
      <c r="B182" s="39" t="s">
        <v>105</v>
      </c>
      <c r="C182" s="39" t="s">
        <v>105</v>
      </c>
      <c r="D182" s="39" t="s">
        <v>182</v>
      </c>
      <c r="G182" s="39" t="s">
        <v>179</v>
      </c>
      <c r="K182" s="39" t="s">
        <v>85</v>
      </c>
      <c r="L182" s="144">
        <v>255</v>
      </c>
      <c r="P182" s="39" t="s">
        <v>4</v>
      </c>
    </row>
    <row r="183" spans="1:18" x14ac:dyDescent="0.25">
      <c r="A183" s="39" t="s">
        <v>272</v>
      </c>
      <c r="B183" s="39" t="s">
        <v>129</v>
      </c>
      <c r="C183" s="39" t="s">
        <v>129</v>
      </c>
      <c r="K183" s="39" t="s">
        <v>85</v>
      </c>
      <c r="L183" s="144">
        <v>255</v>
      </c>
    </row>
    <row r="184" spans="1:18" x14ac:dyDescent="0.25">
      <c r="A184" s="39" t="s">
        <v>272</v>
      </c>
      <c r="B184" s="39" t="s">
        <v>21</v>
      </c>
      <c r="C184" s="39" t="s">
        <v>21</v>
      </c>
      <c r="K184" s="39" t="s">
        <v>85</v>
      </c>
      <c r="L184" s="144">
        <v>1000</v>
      </c>
    </row>
    <row r="185" spans="1:18" x14ac:dyDescent="0.25">
      <c r="A185" s="39" t="s">
        <v>272</v>
      </c>
      <c r="B185" s="39" t="s">
        <v>87</v>
      </c>
      <c r="C185" s="39" t="s">
        <v>87</v>
      </c>
      <c r="E185" s="39" t="s">
        <v>84</v>
      </c>
      <c r="G185" s="39">
        <v>2</v>
      </c>
      <c r="K185" s="39" t="s">
        <v>88</v>
      </c>
      <c r="P185" s="39" t="s">
        <v>4</v>
      </c>
    </row>
    <row r="186" spans="1:18" x14ac:dyDescent="0.25">
      <c r="A186" s="39" t="s">
        <v>272</v>
      </c>
      <c r="B186" s="39" t="s">
        <v>89</v>
      </c>
      <c r="C186" s="39" t="s">
        <v>89</v>
      </c>
      <c r="E186" s="39" t="s">
        <v>84</v>
      </c>
      <c r="G186" s="39">
        <v>2</v>
      </c>
      <c r="K186" s="39" t="s">
        <v>88</v>
      </c>
      <c r="P186" s="39" t="s">
        <v>4</v>
      </c>
      <c r="R186" s="39" t="s">
        <v>181</v>
      </c>
    </row>
    <row r="187" spans="1:18" x14ac:dyDescent="0.25">
      <c r="A187" s="39" t="s">
        <v>272</v>
      </c>
      <c r="B187" s="39" t="s">
        <v>90</v>
      </c>
      <c r="C187" s="39" t="s">
        <v>90</v>
      </c>
      <c r="E187" s="39" t="s">
        <v>84</v>
      </c>
      <c r="G187" s="39">
        <v>2</v>
      </c>
      <c r="K187" s="39" t="s">
        <v>85</v>
      </c>
      <c r="L187" s="144">
        <v>255</v>
      </c>
      <c r="P187" s="39" t="s">
        <v>4</v>
      </c>
      <c r="Q187" s="39" t="s">
        <v>91</v>
      </c>
      <c r="R187" s="39" t="s">
        <v>181</v>
      </c>
    </row>
    <row r="188" spans="1:18" x14ac:dyDescent="0.25">
      <c r="A188" s="39" t="s">
        <v>272</v>
      </c>
      <c r="B188" s="39" t="s">
        <v>92</v>
      </c>
      <c r="C188" s="39" t="s">
        <v>92</v>
      </c>
      <c r="E188" s="39" t="s">
        <v>84</v>
      </c>
      <c r="G188" s="39">
        <v>2</v>
      </c>
      <c r="K188" s="39" t="s">
        <v>93</v>
      </c>
      <c r="P188" s="39" t="s">
        <v>4</v>
      </c>
      <c r="Q188" s="39" t="s">
        <v>94</v>
      </c>
      <c r="R188" s="39" t="s">
        <v>181</v>
      </c>
    </row>
    <row r="189" spans="1:18" x14ac:dyDescent="0.25">
      <c r="A189" s="39" t="s">
        <v>272</v>
      </c>
      <c r="B189" s="39" t="s">
        <v>95</v>
      </c>
      <c r="C189" s="39" t="s">
        <v>95</v>
      </c>
      <c r="E189" s="39" t="s">
        <v>84</v>
      </c>
      <c r="G189" s="39">
        <v>2</v>
      </c>
      <c r="K189" s="39" t="s">
        <v>85</v>
      </c>
      <c r="L189" s="144">
        <v>255</v>
      </c>
      <c r="P189" s="39" t="s">
        <v>4</v>
      </c>
      <c r="Q189" s="39" t="s">
        <v>91</v>
      </c>
      <c r="R189" s="39" t="s">
        <v>181</v>
      </c>
    </row>
    <row r="190" spans="1:18" x14ac:dyDescent="0.25">
      <c r="A190" s="39" t="s">
        <v>272</v>
      </c>
      <c r="B190" s="39" t="s">
        <v>96</v>
      </c>
      <c r="C190" s="39" t="s">
        <v>96</v>
      </c>
      <c r="E190" s="39" t="s">
        <v>84</v>
      </c>
      <c r="G190" s="39">
        <v>2</v>
      </c>
      <c r="K190" s="39" t="s">
        <v>93</v>
      </c>
      <c r="P190" s="39" t="s">
        <v>4</v>
      </c>
      <c r="Q190" s="39" t="s">
        <v>94</v>
      </c>
      <c r="R190" s="39" t="s">
        <v>181</v>
      </c>
    </row>
    <row r="191" spans="1:18" s="145" customFormat="1" x14ac:dyDescent="0.25">
      <c r="A191" s="145" t="s">
        <v>274</v>
      </c>
      <c r="B191" s="145" t="s">
        <v>275</v>
      </c>
      <c r="C191" s="145" t="s">
        <v>275</v>
      </c>
      <c r="D191" s="145" t="s">
        <v>178</v>
      </c>
      <c r="G191" s="145" t="s">
        <v>179</v>
      </c>
      <c r="H191" s="146"/>
      <c r="K191" s="145" t="s">
        <v>107</v>
      </c>
      <c r="L191" s="146"/>
      <c r="N191" s="146" t="s">
        <v>180</v>
      </c>
      <c r="O191" s="146"/>
      <c r="P191" s="145" t="s">
        <v>4</v>
      </c>
      <c r="R191" s="145" t="s">
        <v>181</v>
      </c>
    </row>
    <row r="192" spans="1:18" x14ac:dyDescent="0.25">
      <c r="A192" s="39" t="s">
        <v>274</v>
      </c>
      <c r="B192" s="39" t="s">
        <v>105</v>
      </c>
      <c r="C192" s="39" t="s">
        <v>105</v>
      </c>
      <c r="D192" s="39" t="s">
        <v>182</v>
      </c>
      <c r="G192" s="39" t="s">
        <v>179</v>
      </c>
      <c r="K192" s="39" t="s">
        <v>85</v>
      </c>
      <c r="L192" s="144">
        <v>255</v>
      </c>
      <c r="P192" s="39" t="s">
        <v>4</v>
      </c>
    </row>
    <row r="193" spans="1:18" x14ac:dyDescent="0.25">
      <c r="A193" s="39" t="s">
        <v>274</v>
      </c>
      <c r="B193" s="39" t="s">
        <v>276</v>
      </c>
      <c r="C193" s="39" t="s">
        <v>276</v>
      </c>
      <c r="K193" s="39" t="s">
        <v>85</v>
      </c>
      <c r="L193" s="144">
        <v>255</v>
      </c>
    </row>
    <row r="194" spans="1:18" x14ac:dyDescent="0.25">
      <c r="A194" s="39" t="s">
        <v>274</v>
      </c>
      <c r="B194" s="39" t="s">
        <v>21</v>
      </c>
      <c r="C194" s="39" t="s">
        <v>21</v>
      </c>
      <c r="K194" s="39" t="s">
        <v>85</v>
      </c>
      <c r="L194" s="144">
        <v>1000</v>
      </c>
    </row>
    <row r="195" spans="1:18" x14ac:dyDescent="0.25">
      <c r="A195" s="39" t="s">
        <v>274</v>
      </c>
      <c r="B195" s="39" t="s">
        <v>87</v>
      </c>
      <c r="C195" s="39" t="s">
        <v>87</v>
      </c>
      <c r="E195" s="39" t="s">
        <v>84</v>
      </c>
      <c r="G195" s="39">
        <v>2</v>
      </c>
      <c r="K195" s="39" t="s">
        <v>88</v>
      </c>
      <c r="P195" s="39" t="s">
        <v>4</v>
      </c>
    </row>
    <row r="196" spans="1:18" x14ac:dyDescent="0.25">
      <c r="A196" s="39" t="s">
        <v>274</v>
      </c>
      <c r="B196" s="39" t="s">
        <v>89</v>
      </c>
      <c r="C196" s="39" t="s">
        <v>89</v>
      </c>
      <c r="E196" s="39" t="s">
        <v>84</v>
      </c>
      <c r="G196" s="39">
        <v>2</v>
      </c>
      <c r="K196" s="39" t="s">
        <v>88</v>
      </c>
      <c r="P196" s="39" t="s">
        <v>4</v>
      </c>
      <c r="R196" s="39" t="s">
        <v>181</v>
      </c>
    </row>
    <row r="197" spans="1:18" x14ac:dyDescent="0.25">
      <c r="A197" s="39" t="s">
        <v>274</v>
      </c>
      <c r="B197" s="39" t="s">
        <v>90</v>
      </c>
      <c r="C197" s="39" t="s">
        <v>90</v>
      </c>
      <c r="E197" s="39" t="s">
        <v>84</v>
      </c>
      <c r="G197" s="39">
        <v>2</v>
      </c>
      <c r="K197" s="39" t="s">
        <v>85</v>
      </c>
      <c r="L197" s="144">
        <v>255</v>
      </c>
      <c r="P197" s="39" t="s">
        <v>4</v>
      </c>
      <c r="Q197" s="39" t="s">
        <v>91</v>
      </c>
      <c r="R197" s="39" t="s">
        <v>181</v>
      </c>
    </row>
    <row r="198" spans="1:18" x14ac:dyDescent="0.25">
      <c r="A198" s="39" t="s">
        <v>274</v>
      </c>
      <c r="B198" s="39" t="s">
        <v>92</v>
      </c>
      <c r="C198" s="39" t="s">
        <v>92</v>
      </c>
      <c r="E198" s="39" t="s">
        <v>84</v>
      </c>
      <c r="G198" s="39">
        <v>2</v>
      </c>
      <c r="K198" s="39" t="s">
        <v>93</v>
      </c>
      <c r="P198" s="39" t="s">
        <v>4</v>
      </c>
      <c r="Q198" s="39" t="s">
        <v>94</v>
      </c>
      <c r="R198" s="39" t="s">
        <v>181</v>
      </c>
    </row>
    <row r="199" spans="1:18" x14ac:dyDescent="0.25">
      <c r="A199" s="39" t="s">
        <v>274</v>
      </c>
      <c r="B199" s="39" t="s">
        <v>95</v>
      </c>
      <c r="C199" s="39" t="s">
        <v>95</v>
      </c>
      <c r="E199" s="39" t="s">
        <v>84</v>
      </c>
      <c r="G199" s="39">
        <v>2</v>
      </c>
      <c r="K199" s="39" t="s">
        <v>85</v>
      </c>
      <c r="L199" s="144">
        <v>255</v>
      </c>
      <c r="P199" s="39" t="s">
        <v>4</v>
      </c>
      <c r="Q199" s="39" t="s">
        <v>91</v>
      </c>
      <c r="R199" s="39" t="s">
        <v>181</v>
      </c>
    </row>
    <row r="200" spans="1:18" x14ac:dyDescent="0.25">
      <c r="A200" s="39" t="s">
        <v>274</v>
      </c>
      <c r="B200" s="39" t="s">
        <v>96</v>
      </c>
      <c r="C200" s="39" t="s">
        <v>96</v>
      </c>
      <c r="E200" s="39" t="s">
        <v>84</v>
      </c>
      <c r="G200" s="39">
        <v>2</v>
      </c>
      <c r="K200" s="39" t="s">
        <v>93</v>
      </c>
      <c r="P200" s="39" t="s">
        <v>4</v>
      </c>
      <c r="Q200" s="39" t="s">
        <v>94</v>
      </c>
      <c r="R200" s="39" t="s">
        <v>181</v>
      </c>
    </row>
    <row r="201" spans="1:18" s="145" customFormat="1" x14ac:dyDescent="0.25">
      <c r="A201" s="145" t="s">
        <v>277</v>
      </c>
      <c r="B201" s="145" t="s">
        <v>278</v>
      </c>
      <c r="C201" s="145" t="s">
        <v>278</v>
      </c>
      <c r="D201" s="145" t="s">
        <v>178</v>
      </c>
      <c r="G201" s="145" t="s">
        <v>179</v>
      </c>
      <c r="H201" s="146"/>
      <c r="K201" s="145" t="s">
        <v>107</v>
      </c>
      <c r="L201" s="146"/>
      <c r="N201" s="146" t="s">
        <v>180</v>
      </c>
      <c r="O201" s="146"/>
      <c r="P201" s="145" t="s">
        <v>4</v>
      </c>
      <c r="R201" s="145" t="s">
        <v>181</v>
      </c>
    </row>
    <row r="202" spans="1:18" x14ac:dyDescent="0.25">
      <c r="A202" s="39" t="s">
        <v>277</v>
      </c>
      <c r="B202" s="39" t="s">
        <v>105</v>
      </c>
      <c r="C202" s="39" t="s">
        <v>105</v>
      </c>
      <c r="D202" s="39" t="s">
        <v>182</v>
      </c>
      <c r="G202" s="39" t="s">
        <v>179</v>
      </c>
      <c r="K202" s="39" t="s">
        <v>85</v>
      </c>
      <c r="L202" s="144">
        <v>255</v>
      </c>
      <c r="P202" s="39" t="s">
        <v>4</v>
      </c>
    </row>
    <row r="203" spans="1:18" x14ac:dyDescent="0.25">
      <c r="A203" s="39" t="s">
        <v>277</v>
      </c>
      <c r="B203" s="39" t="s">
        <v>279</v>
      </c>
      <c r="C203" s="39" t="s">
        <v>279</v>
      </c>
      <c r="K203" s="39" t="s">
        <v>85</v>
      </c>
      <c r="L203" s="144">
        <v>255</v>
      </c>
    </row>
    <row r="204" spans="1:18" x14ac:dyDescent="0.25">
      <c r="A204" s="39" t="s">
        <v>277</v>
      </c>
      <c r="B204" s="39" t="s">
        <v>21</v>
      </c>
      <c r="C204" s="39" t="s">
        <v>21</v>
      </c>
      <c r="K204" s="39" t="s">
        <v>85</v>
      </c>
      <c r="L204" s="144">
        <v>1000</v>
      </c>
    </row>
    <row r="205" spans="1:18" x14ac:dyDescent="0.25">
      <c r="A205" s="39" t="s">
        <v>277</v>
      </c>
      <c r="B205" s="39" t="s">
        <v>87</v>
      </c>
      <c r="C205" s="39" t="s">
        <v>87</v>
      </c>
      <c r="E205" s="39" t="s">
        <v>84</v>
      </c>
      <c r="G205" s="39">
        <v>2</v>
      </c>
      <c r="K205" s="39" t="s">
        <v>88</v>
      </c>
      <c r="P205" s="39" t="s">
        <v>4</v>
      </c>
    </row>
    <row r="206" spans="1:18" x14ac:dyDescent="0.25">
      <c r="A206" s="39" t="s">
        <v>277</v>
      </c>
      <c r="B206" s="39" t="s">
        <v>89</v>
      </c>
      <c r="C206" s="39" t="s">
        <v>89</v>
      </c>
      <c r="E206" s="39" t="s">
        <v>84</v>
      </c>
      <c r="G206" s="39">
        <v>2</v>
      </c>
      <c r="K206" s="39" t="s">
        <v>88</v>
      </c>
      <c r="P206" s="39" t="s">
        <v>4</v>
      </c>
      <c r="R206" s="39" t="s">
        <v>181</v>
      </c>
    </row>
    <row r="207" spans="1:18" x14ac:dyDescent="0.25">
      <c r="A207" s="39" t="s">
        <v>277</v>
      </c>
      <c r="B207" s="39" t="s">
        <v>90</v>
      </c>
      <c r="C207" s="39" t="s">
        <v>90</v>
      </c>
      <c r="E207" s="39" t="s">
        <v>84</v>
      </c>
      <c r="G207" s="39">
        <v>2</v>
      </c>
      <c r="K207" s="39" t="s">
        <v>85</v>
      </c>
      <c r="L207" s="144">
        <v>255</v>
      </c>
      <c r="P207" s="39" t="s">
        <v>4</v>
      </c>
      <c r="Q207" s="39" t="s">
        <v>91</v>
      </c>
      <c r="R207" s="39" t="s">
        <v>181</v>
      </c>
    </row>
    <row r="208" spans="1:18" x14ac:dyDescent="0.25">
      <c r="A208" s="39" t="s">
        <v>277</v>
      </c>
      <c r="B208" s="39" t="s">
        <v>92</v>
      </c>
      <c r="C208" s="39" t="s">
        <v>92</v>
      </c>
      <c r="E208" s="39" t="s">
        <v>84</v>
      </c>
      <c r="G208" s="39">
        <v>2</v>
      </c>
      <c r="K208" s="39" t="s">
        <v>93</v>
      </c>
      <c r="P208" s="39" t="s">
        <v>4</v>
      </c>
      <c r="Q208" s="39" t="s">
        <v>94</v>
      </c>
      <c r="R208" s="39" t="s">
        <v>181</v>
      </c>
    </row>
    <row r="209" spans="1:18" x14ac:dyDescent="0.25">
      <c r="A209" s="39" t="s">
        <v>277</v>
      </c>
      <c r="B209" s="39" t="s">
        <v>95</v>
      </c>
      <c r="C209" s="39" t="s">
        <v>95</v>
      </c>
      <c r="E209" s="39" t="s">
        <v>84</v>
      </c>
      <c r="G209" s="39">
        <v>2</v>
      </c>
      <c r="K209" s="39" t="s">
        <v>85</v>
      </c>
      <c r="L209" s="144">
        <v>255</v>
      </c>
      <c r="P209" s="39" t="s">
        <v>4</v>
      </c>
      <c r="Q209" s="39" t="s">
        <v>91</v>
      </c>
      <c r="R209" s="39" t="s">
        <v>181</v>
      </c>
    </row>
    <row r="210" spans="1:18" x14ac:dyDescent="0.25">
      <c r="A210" s="39" t="s">
        <v>277</v>
      </c>
      <c r="B210" s="39" t="s">
        <v>96</v>
      </c>
      <c r="C210" s="39" t="s">
        <v>96</v>
      </c>
      <c r="E210" s="39" t="s">
        <v>84</v>
      </c>
      <c r="G210" s="39">
        <v>2</v>
      </c>
      <c r="K210" s="39" t="s">
        <v>93</v>
      </c>
      <c r="P210" s="39" t="s">
        <v>4</v>
      </c>
      <c r="Q210" s="39" t="s">
        <v>94</v>
      </c>
      <c r="R210" s="39" t="s">
        <v>181</v>
      </c>
    </row>
    <row r="211" spans="1:18" s="145" customFormat="1" x14ac:dyDescent="0.25">
      <c r="A211" s="145" t="s">
        <v>210</v>
      </c>
      <c r="B211" s="145" t="s">
        <v>209</v>
      </c>
      <c r="C211" s="145" t="s">
        <v>209</v>
      </c>
      <c r="D211" s="145" t="s">
        <v>178</v>
      </c>
      <c r="G211" s="145" t="s">
        <v>179</v>
      </c>
      <c r="H211" s="146"/>
      <c r="K211" s="145" t="s">
        <v>107</v>
      </c>
      <c r="L211" s="146"/>
      <c r="N211" s="146" t="s">
        <v>180</v>
      </c>
      <c r="O211" s="146"/>
      <c r="P211" s="145" t="s">
        <v>4</v>
      </c>
      <c r="R211" s="145" t="s">
        <v>181</v>
      </c>
    </row>
    <row r="212" spans="1:18" x14ac:dyDescent="0.25">
      <c r="A212" s="39" t="s">
        <v>210</v>
      </c>
      <c r="B212" s="39" t="s">
        <v>105</v>
      </c>
      <c r="C212" s="39" t="s">
        <v>105</v>
      </c>
      <c r="D212" s="39" t="s">
        <v>182</v>
      </c>
      <c r="G212" s="39" t="s">
        <v>179</v>
      </c>
      <c r="K212" s="39" t="s">
        <v>85</v>
      </c>
      <c r="L212" s="144">
        <v>255</v>
      </c>
      <c r="P212" s="39" t="s">
        <v>4</v>
      </c>
    </row>
    <row r="213" spans="1:18" x14ac:dyDescent="0.25">
      <c r="A213" s="39" t="s">
        <v>210</v>
      </c>
      <c r="B213" s="39" t="s">
        <v>158</v>
      </c>
      <c r="C213" s="39" t="s">
        <v>158</v>
      </c>
      <c r="K213" s="39" t="s">
        <v>85</v>
      </c>
      <c r="L213" s="144">
        <v>255</v>
      </c>
    </row>
    <row r="214" spans="1:18" x14ac:dyDescent="0.25">
      <c r="A214" s="39" t="s">
        <v>210</v>
      </c>
      <c r="B214" s="39" t="s">
        <v>87</v>
      </c>
      <c r="C214" s="39" t="s">
        <v>87</v>
      </c>
      <c r="E214" s="39" t="s">
        <v>84</v>
      </c>
      <c r="G214" s="39">
        <v>2</v>
      </c>
      <c r="K214" s="39" t="s">
        <v>88</v>
      </c>
      <c r="P214" s="39" t="s">
        <v>4</v>
      </c>
    </row>
    <row r="215" spans="1:18" x14ac:dyDescent="0.25">
      <c r="A215" s="39" t="s">
        <v>210</v>
      </c>
      <c r="B215" s="39" t="s">
        <v>89</v>
      </c>
      <c r="C215" s="39" t="s">
        <v>89</v>
      </c>
      <c r="E215" s="39" t="s">
        <v>84</v>
      </c>
      <c r="G215" s="39">
        <v>2</v>
      </c>
      <c r="K215" s="39" t="s">
        <v>88</v>
      </c>
      <c r="P215" s="39" t="s">
        <v>4</v>
      </c>
      <c r="R215" s="39" t="s">
        <v>181</v>
      </c>
    </row>
    <row r="216" spans="1:18" x14ac:dyDescent="0.25">
      <c r="A216" s="39" t="s">
        <v>210</v>
      </c>
      <c r="B216" s="39" t="s">
        <v>90</v>
      </c>
      <c r="C216" s="39" t="s">
        <v>90</v>
      </c>
      <c r="E216" s="39" t="s">
        <v>84</v>
      </c>
      <c r="G216" s="39">
        <v>2</v>
      </c>
      <c r="K216" s="39" t="s">
        <v>85</v>
      </c>
      <c r="L216" s="144">
        <v>255</v>
      </c>
      <c r="P216" s="39" t="s">
        <v>4</v>
      </c>
      <c r="Q216" s="39" t="s">
        <v>91</v>
      </c>
      <c r="R216" s="39" t="s">
        <v>181</v>
      </c>
    </row>
    <row r="217" spans="1:18" x14ac:dyDescent="0.25">
      <c r="A217" s="39" t="s">
        <v>210</v>
      </c>
      <c r="B217" s="39" t="s">
        <v>92</v>
      </c>
      <c r="C217" s="39" t="s">
        <v>92</v>
      </c>
      <c r="E217" s="39" t="s">
        <v>84</v>
      </c>
      <c r="G217" s="39">
        <v>2</v>
      </c>
      <c r="K217" s="39" t="s">
        <v>93</v>
      </c>
      <c r="P217" s="39" t="s">
        <v>4</v>
      </c>
      <c r="Q217" s="39" t="s">
        <v>94</v>
      </c>
      <c r="R217" s="39" t="s">
        <v>181</v>
      </c>
    </row>
    <row r="218" spans="1:18" x14ac:dyDescent="0.25">
      <c r="A218" s="39" t="s">
        <v>210</v>
      </c>
      <c r="B218" s="39" t="s">
        <v>95</v>
      </c>
      <c r="C218" s="39" t="s">
        <v>95</v>
      </c>
      <c r="E218" s="39" t="s">
        <v>84</v>
      </c>
      <c r="G218" s="39">
        <v>2</v>
      </c>
      <c r="K218" s="39" t="s">
        <v>85</v>
      </c>
      <c r="L218" s="144">
        <v>255</v>
      </c>
      <c r="P218" s="39" t="s">
        <v>4</v>
      </c>
      <c r="Q218" s="39" t="s">
        <v>91</v>
      </c>
      <c r="R218" s="39" t="s">
        <v>181</v>
      </c>
    </row>
    <row r="219" spans="1:18" x14ac:dyDescent="0.25">
      <c r="A219" s="39" t="s">
        <v>210</v>
      </c>
      <c r="B219" s="39" t="s">
        <v>96</v>
      </c>
      <c r="C219" s="39" t="s">
        <v>96</v>
      </c>
      <c r="E219" s="39" t="s">
        <v>84</v>
      </c>
      <c r="G219" s="39">
        <v>2</v>
      </c>
      <c r="K219" s="39" t="s">
        <v>93</v>
      </c>
      <c r="P219" s="39" t="s">
        <v>4</v>
      </c>
      <c r="Q219" s="39" t="s">
        <v>94</v>
      </c>
      <c r="R219" s="39" t="s">
        <v>181</v>
      </c>
    </row>
    <row r="220" spans="1:18" s="145" customFormat="1" x14ac:dyDescent="0.25">
      <c r="A220" s="145" t="s">
        <v>280</v>
      </c>
      <c r="B220" s="145" t="s">
        <v>281</v>
      </c>
      <c r="C220" s="145" t="s">
        <v>281</v>
      </c>
      <c r="D220" s="145" t="s">
        <v>178</v>
      </c>
      <c r="G220" s="145" t="s">
        <v>179</v>
      </c>
      <c r="H220" s="146"/>
      <c r="K220" s="145" t="s">
        <v>107</v>
      </c>
      <c r="L220" s="146"/>
      <c r="N220" s="146" t="s">
        <v>180</v>
      </c>
      <c r="O220" s="146"/>
      <c r="P220" s="145" t="s">
        <v>4</v>
      </c>
      <c r="R220" s="145" t="s">
        <v>181</v>
      </c>
    </row>
    <row r="221" spans="1:18" x14ac:dyDescent="0.25">
      <c r="A221" s="39" t="s">
        <v>280</v>
      </c>
      <c r="B221" s="39" t="s">
        <v>105</v>
      </c>
      <c r="C221" s="39" t="s">
        <v>105</v>
      </c>
      <c r="D221" s="39" t="s">
        <v>182</v>
      </c>
      <c r="G221" s="39" t="s">
        <v>179</v>
      </c>
      <c r="K221" s="39" t="s">
        <v>85</v>
      </c>
      <c r="L221" s="144">
        <v>255</v>
      </c>
      <c r="P221" s="39" t="s">
        <v>4</v>
      </c>
    </row>
    <row r="222" spans="1:18" x14ac:dyDescent="0.25">
      <c r="A222" s="39" t="s">
        <v>280</v>
      </c>
      <c r="B222" s="39" t="s">
        <v>148</v>
      </c>
      <c r="C222" s="39" t="s">
        <v>148</v>
      </c>
      <c r="K222" s="39" t="s">
        <v>85</v>
      </c>
      <c r="L222" s="144">
        <v>255</v>
      </c>
    </row>
    <row r="223" spans="1:18" x14ac:dyDescent="0.25">
      <c r="A223" s="39" t="s">
        <v>280</v>
      </c>
      <c r="B223" s="39" t="s">
        <v>219</v>
      </c>
      <c r="C223" s="39" t="s">
        <v>219</v>
      </c>
      <c r="K223" s="39" t="s">
        <v>107</v>
      </c>
      <c r="N223" s="144" t="s">
        <v>108</v>
      </c>
      <c r="O223" s="144" t="s">
        <v>220</v>
      </c>
      <c r="P223" s="39" t="s">
        <v>4</v>
      </c>
    </row>
    <row r="224" spans="1:18" x14ac:dyDescent="0.25">
      <c r="A224" s="39" t="s">
        <v>280</v>
      </c>
      <c r="B224" s="39" t="s">
        <v>282</v>
      </c>
      <c r="C224" s="39" t="s">
        <v>282</v>
      </c>
      <c r="J224" s="39" t="s">
        <v>260</v>
      </c>
      <c r="K224" s="39" t="s">
        <v>283</v>
      </c>
    </row>
    <row r="225" spans="1:18" x14ac:dyDescent="0.25">
      <c r="A225" s="39" t="s">
        <v>280</v>
      </c>
      <c r="B225" s="39" t="s">
        <v>87</v>
      </c>
      <c r="C225" s="39" t="s">
        <v>87</v>
      </c>
      <c r="E225" s="39" t="s">
        <v>84</v>
      </c>
      <c r="G225" s="39">
        <v>2</v>
      </c>
      <c r="K225" s="39" t="s">
        <v>88</v>
      </c>
      <c r="P225" s="39" t="s">
        <v>4</v>
      </c>
    </row>
    <row r="226" spans="1:18" x14ac:dyDescent="0.25">
      <c r="A226" s="39" t="s">
        <v>280</v>
      </c>
      <c r="B226" s="39" t="s">
        <v>89</v>
      </c>
      <c r="C226" s="39" t="s">
        <v>89</v>
      </c>
      <c r="E226" s="39" t="s">
        <v>84</v>
      </c>
      <c r="G226" s="39">
        <v>2</v>
      </c>
      <c r="K226" s="39" t="s">
        <v>88</v>
      </c>
      <c r="P226" s="39" t="s">
        <v>4</v>
      </c>
      <c r="R226" s="39" t="s">
        <v>181</v>
      </c>
    </row>
    <row r="227" spans="1:18" x14ac:dyDescent="0.25">
      <c r="A227" s="39" t="s">
        <v>280</v>
      </c>
      <c r="B227" s="39" t="s">
        <v>90</v>
      </c>
      <c r="C227" s="39" t="s">
        <v>90</v>
      </c>
      <c r="E227" s="39" t="s">
        <v>84</v>
      </c>
      <c r="G227" s="39">
        <v>2</v>
      </c>
      <c r="K227" s="39" t="s">
        <v>85</v>
      </c>
      <c r="L227" s="144">
        <v>255</v>
      </c>
      <c r="P227" s="39" t="s">
        <v>4</v>
      </c>
      <c r="Q227" s="39" t="s">
        <v>91</v>
      </c>
      <c r="R227" s="39" t="s">
        <v>181</v>
      </c>
    </row>
    <row r="228" spans="1:18" x14ac:dyDescent="0.25">
      <c r="A228" s="39" t="s">
        <v>280</v>
      </c>
      <c r="B228" s="39" t="s">
        <v>92</v>
      </c>
      <c r="C228" s="39" t="s">
        <v>92</v>
      </c>
      <c r="E228" s="39" t="s">
        <v>84</v>
      </c>
      <c r="G228" s="39">
        <v>2</v>
      </c>
      <c r="K228" s="39" t="s">
        <v>93</v>
      </c>
      <c r="P228" s="39" t="s">
        <v>4</v>
      </c>
      <c r="Q228" s="39" t="s">
        <v>94</v>
      </c>
      <c r="R228" s="39" t="s">
        <v>181</v>
      </c>
    </row>
    <row r="229" spans="1:18" x14ac:dyDescent="0.25">
      <c r="A229" s="39" t="s">
        <v>280</v>
      </c>
      <c r="B229" s="39" t="s">
        <v>95</v>
      </c>
      <c r="C229" s="39" t="s">
        <v>95</v>
      </c>
      <c r="E229" s="39" t="s">
        <v>84</v>
      </c>
      <c r="G229" s="39">
        <v>2</v>
      </c>
      <c r="K229" s="39" t="s">
        <v>85</v>
      </c>
      <c r="L229" s="144">
        <v>255</v>
      </c>
      <c r="P229" s="39" t="s">
        <v>4</v>
      </c>
      <c r="Q229" s="39" t="s">
        <v>91</v>
      </c>
      <c r="R229" s="39" t="s">
        <v>181</v>
      </c>
    </row>
    <row r="230" spans="1:18" x14ac:dyDescent="0.25">
      <c r="A230" s="39" t="s">
        <v>280</v>
      </c>
      <c r="B230" s="39" t="s">
        <v>96</v>
      </c>
      <c r="C230" s="39" t="s">
        <v>96</v>
      </c>
      <c r="E230" s="39" t="s">
        <v>84</v>
      </c>
      <c r="G230" s="39">
        <v>2</v>
      </c>
      <c r="K230" s="39" t="s">
        <v>93</v>
      </c>
      <c r="P230" s="39" t="s">
        <v>4</v>
      </c>
      <c r="Q230" s="39" t="s">
        <v>94</v>
      </c>
      <c r="R230" s="39" t="s">
        <v>181</v>
      </c>
    </row>
    <row r="231" spans="1:18" s="145" customFormat="1" x14ac:dyDescent="0.25">
      <c r="A231" s="145" t="s">
        <v>203</v>
      </c>
      <c r="B231" s="145" t="s">
        <v>284</v>
      </c>
      <c r="C231" s="145" t="s">
        <v>284</v>
      </c>
      <c r="D231" s="145" t="s">
        <v>178</v>
      </c>
      <c r="G231" s="145" t="s">
        <v>179</v>
      </c>
      <c r="H231" s="146"/>
      <c r="K231" s="145" t="s">
        <v>107</v>
      </c>
      <c r="L231" s="146"/>
      <c r="N231" s="146" t="s">
        <v>180</v>
      </c>
      <c r="O231" s="146"/>
      <c r="P231" s="145" t="s">
        <v>4</v>
      </c>
      <c r="R231" s="145" t="s">
        <v>181</v>
      </c>
    </row>
    <row r="232" spans="1:18" x14ac:dyDescent="0.25">
      <c r="A232" s="39" t="s">
        <v>203</v>
      </c>
      <c r="B232" s="39" t="s">
        <v>105</v>
      </c>
      <c r="C232" s="39" t="s">
        <v>105</v>
      </c>
      <c r="D232" s="39" t="s">
        <v>182</v>
      </c>
      <c r="G232" s="39" t="s">
        <v>179</v>
      </c>
      <c r="K232" s="39" t="s">
        <v>85</v>
      </c>
      <c r="L232" s="144">
        <v>255</v>
      </c>
      <c r="P232" s="39" t="s">
        <v>4</v>
      </c>
    </row>
    <row r="233" spans="1:18" x14ac:dyDescent="0.25">
      <c r="A233" s="39" t="s">
        <v>203</v>
      </c>
      <c r="B233" s="39" t="s">
        <v>162</v>
      </c>
      <c r="C233" s="39" t="s">
        <v>162</v>
      </c>
      <c r="K233" s="39" t="s">
        <v>85</v>
      </c>
      <c r="L233" s="144">
        <v>255</v>
      </c>
    </row>
    <row r="234" spans="1:18" x14ac:dyDescent="0.25">
      <c r="A234" s="39" t="s">
        <v>203</v>
      </c>
      <c r="B234" s="39" t="s">
        <v>21</v>
      </c>
      <c r="C234" s="39" t="s">
        <v>21</v>
      </c>
      <c r="K234" s="39" t="s">
        <v>85</v>
      </c>
      <c r="L234" s="144">
        <v>1000</v>
      </c>
    </row>
    <row r="235" spans="1:18" x14ac:dyDescent="0.25">
      <c r="A235" s="39" t="s">
        <v>203</v>
      </c>
      <c r="B235" s="39" t="s">
        <v>87</v>
      </c>
      <c r="C235" s="39" t="s">
        <v>87</v>
      </c>
      <c r="E235" s="39" t="s">
        <v>84</v>
      </c>
      <c r="G235" s="39">
        <v>2</v>
      </c>
      <c r="K235" s="39" t="s">
        <v>88</v>
      </c>
      <c r="P235" s="39" t="s">
        <v>4</v>
      </c>
    </row>
    <row r="236" spans="1:18" x14ac:dyDescent="0.25">
      <c r="A236" s="39" t="s">
        <v>203</v>
      </c>
      <c r="B236" s="39" t="s">
        <v>89</v>
      </c>
      <c r="C236" s="39" t="s">
        <v>89</v>
      </c>
      <c r="E236" s="39" t="s">
        <v>84</v>
      </c>
      <c r="G236" s="39">
        <v>2</v>
      </c>
      <c r="K236" s="39" t="s">
        <v>88</v>
      </c>
      <c r="P236" s="39" t="s">
        <v>4</v>
      </c>
      <c r="R236" s="39" t="s">
        <v>181</v>
      </c>
    </row>
    <row r="237" spans="1:18" x14ac:dyDescent="0.25">
      <c r="A237" s="39" t="s">
        <v>203</v>
      </c>
      <c r="B237" s="39" t="s">
        <v>90</v>
      </c>
      <c r="C237" s="39" t="s">
        <v>90</v>
      </c>
      <c r="E237" s="39" t="s">
        <v>84</v>
      </c>
      <c r="G237" s="39">
        <v>2</v>
      </c>
      <c r="K237" s="39" t="s">
        <v>85</v>
      </c>
      <c r="L237" s="144">
        <v>255</v>
      </c>
      <c r="P237" s="39" t="s">
        <v>4</v>
      </c>
      <c r="Q237" s="39" t="s">
        <v>91</v>
      </c>
      <c r="R237" s="39" t="s">
        <v>181</v>
      </c>
    </row>
    <row r="238" spans="1:18" x14ac:dyDescent="0.25">
      <c r="A238" s="39" t="s">
        <v>203</v>
      </c>
      <c r="B238" s="39" t="s">
        <v>92</v>
      </c>
      <c r="C238" s="39" t="s">
        <v>92</v>
      </c>
      <c r="E238" s="39" t="s">
        <v>84</v>
      </c>
      <c r="G238" s="39">
        <v>2</v>
      </c>
      <c r="K238" s="39" t="s">
        <v>93</v>
      </c>
      <c r="P238" s="39" t="s">
        <v>4</v>
      </c>
      <c r="Q238" s="39" t="s">
        <v>94</v>
      </c>
      <c r="R238" s="39" t="s">
        <v>181</v>
      </c>
    </row>
    <row r="239" spans="1:18" x14ac:dyDescent="0.25">
      <c r="A239" s="39" t="s">
        <v>203</v>
      </c>
      <c r="B239" s="39" t="s">
        <v>95</v>
      </c>
      <c r="C239" s="39" t="s">
        <v>95</v>
      </c>
      <c r="E239" s="39" t="s">
        <v>84</v>
      </c>
      <c r="G239" s="39">
        <v>2</v>
      </c>
      <c r="K239" s="39" t="s">
        <v>85</v>
      </c>
      <c r="L239" s="144">
        <v>255</v>
      </c>
      <c r="P239" s="39" t="s">
        <v>4</v>
      </c>
      <c r="Q239" s="39" t="s">
        <v>91</v>
      </c>
      <c r="R239" s="39" t="s">
        <v>181</v>
      </c>
    </row>
    <row r="240" spans="1:18" x14ac:dyDescent="0.25">
      <c r="A240" s="39" t="s">
        <v>203</v>
      </c>
      <c r="B240" s="39" t="s">
        <v>96</v>
      </c>
      <c r="C240" s="39" t="s">
        <v>96</v>
      </c>
      <c r="E240" s="39" t="s">
        <v>84</v>
      </c>
      <c r="G240" s="39">
        <v>2</v>
      </c>
      <c r="K240" s="39" t="s">
        <v>93</v>
      </c>
      <c r="P240" s="39" t="s">
        <v>4</v>
      </c>
      <c r="Q240" s="39" t="s">
        <v>94</v>
      </c>
      <c r="R240" s="39" t="s">
        <v>181</v>
      </c>
    </row>
    <row r="241" spans="1:18" s="145" customFormat="1" x14ac:dyDescent="0.25">
      <c r="A241" s="145" t="s">
        <v>212</v>
      </c>
      <c r="B241" s="145" t="s">
        <v>211</v>
      </c>
      <c r="C241" s="145" t="s">
        <v>211</v>
      </c>
      <c r="D241" s="145" t="s">
        <v>178</v>
      </c>
      <c r="G241" s="145" t="s">
        <v>179</v>
      </c>
      <c r="H241" s="146"/>
      <c r="K241" s="145" t="s">
        <v>107</v>
      </c>
      <c r="L241" s="146"/>
      <c r="N241" s="146" t="s">
        <v>180</v>
      </c>
      <c r="O241" s="146"/>
      <c r="P241" s="145" t="s">
        <v>4</v>
      </c>
      <c r="R241" s="145" t="s">
        <v>181</v>
      </c>
    </row>
    <row r="242" spans="1:18" x14ac:dyDescent="0.25">
      <c r="A242" s="39" t="s">
        <v>212</v>
      </c>
      <c r="B242" s="39" t="s">
        <v>105</v>
      </c>
      <c r="C242" s="39" t="s">
        <v>105</v>
      </c>
      <c r="D242" s="39" t="s">
        <v>182</v>
      </c>
      <c r="G242" s="39" t="s">
        <v>179</v>
      </c>
      <c r="K242" s="39" t="s">
        <v>85</v>
      </c>
      <c r="L242" s="144">
        <v>255</v>
      </c>
      <c r="P242" s="39" t="s">
        <v>4</v>
      </c>
    </row>
    <row r="243" spans="1:18" x14ac:dyDescent="0.25">
      <c r="A243" s="39" t="s">
        <v>212</v>
      </c>
      <c r="B243" s="39" t="s">
        <v>168</v>
      </c>
      <c r="C243" s="39" t="s">
        <v>168</v>
      </c>
      <c r="K243" s="39" t="s">
        <v>85</v>
      </c>
      <c r="L243" s="144">
        <v>255</v>
      </c>
    </row>
    <row r="244" spans="1:18" x14ac:dyDescent="0.25">
      <c r="A244" s="39" t="s">
        <v>212</v>
      </c>
      <c r="B244" s="39" t="s">
        <v>219</v>
      </c>
      <c r="C244" s="39" t="s">
        <v>219</v>
      </c>
      <c r="K244" s="39" t="s">
        <v>107</v>
      </c>
      <c r="N244" s="144" t="s">
        <v>108</v>
      </c>
      <c r="O244" s="144" t="s">
        <v>220</v>
      </c>
      <c r="P244" s="39" t="s">
        <v>4</v>
      </c>
    </row>
    <row r="245" spans="1:18" x14ac:dyDescent="0.25">
      <c r="A245" s="39" t="s">
        <v>212</v>
      </c>
      <c r="B245" s="39" t="s">
        <v>285</v>
      </c>
      <c r="C245" s="39" t="s">
        <v>285</v>
      </c>
      <c r="K245" s="39" t="s">
        <v>107</v>
      </c>
      <c r="N245" s="144" t="s">
        <v>108</v>
      </c>
      <c r="O245" s="144" t="s">
        <v>286</v>
      </c>
      <c r="P245" s="39" t="s">
        <v>4</v>
      </c>
    </row>
    <row r="246" spans="1:18" x14ac:dyDescent="0.25">
      <c r="A246" s="39" t="s">
        <v>212</v>
      </c>
      <c r="B246" s="39" t="s">
        <v>287</v>
      </c>
      <c r="C246" s="39" t="s">
        <v>287</v>
      </c>
      <c r="J246" s="39" t="s">
        <v>260</v>
      </c>
      <c r="K246" s="39" t="s">
        <v>260</v>
      </c>
    </row>
    <row r="247" spans="1:18" x14ac:dyDescent="0.25">
      <c r="A247" s="39" t="s">
        <v>212</v>
      </c>
      <c r="B247" s="39" t="s">
        <v>288</v>
      </c>
      <c r="C247" s="39" t="s">
        <v>288</v>
      </c>
      <c r="J247" s="39" t="s">
        <v>260</v>
      </c>
      <c r="K247" s="39" t="s">
        <v>260</v>
      </c>
    </row>
    <row r="248" spans="1:18" x14ac:dyDescent="0.25">
      <c r="A248" s="39" t="s">
        <v>212</v>
      </c>
      <c r="B248" s="39" t="s">
        <v>87</v>
      </c>
      <c r="C248" s="39" t="s">
        <v>87</v>
      </c>
      <c r="E248" s="39" t="s">
        <v>84</v>
      </c>
      <c r="G248" s="39">
        <v>2</v>
      </c>
      <c r="K248" s="39" t="s">
        <v>88</v>
      </c>
      <c r="P248" s="39" t="s">
        <v>4</v>
      </c>
    </row>
    <row r="249" spans="1:18" x14ac:dyDescent="0.25">
      <c r="A249" s="39" t="s">
        <v>212</v>
      </c>
      <c r="B249" s="39" t="s">
        <v>89</v>
      </c>
      <c r="C249" s="39" t="s">
        <v>89</v>
      </c>
      <c r="E249" s="39" t="s">
        <v>84</v>
      </c>
      <c r="G249" s="39">
        <v>2</v>
      </c>
      <c r="K249" s="39" t="s">
        <v>88</v>
      </c>
      <c r="P249" s="39" t="s">
        <v>4</v>
      </c>
      <c r="R249" s="39" t="s">
        <v>181</v>
      </c>
    </row>
    <row r="250" spans="1:18" x14ac:dyDescent="0.25">
      <c r="A250" s="39" t="s">
        <v>212</v>
      </c>
      <c r="B250" s="39" t="s">
        <v>90</v>
      </c>
      <c r="C250" s="39" t="s">
        <v>90</v>
      </c>
      <c r="E250" s="39" t="s">
        <v>84</v>
      </c>
      <c r="G250" s="39">
        <v>2</v>
      </c>
      <c r="K250" s="39" t="s">
        <v>85</v>
      </c>
      <c r="L250" s="144">
        <v>255</v>
      </c>
      <c r="P250" s="39" t="s">
        <v>4</v>
      </c>
      <c r="Q250" s="39" t="s">
        <v>91</v>
      </c>
      <c r="R250" s="39" t="s">
        <v>181</v>
      </c>
    </row>
    <row r="251" spans="1:18" x14ac:dyDescent="0.25">
      <c r="A251" s="39" t="s">
        <v>212</v>
      </c>
      <c r="B251" s="39" t="s">
        <v>92</v>
      </c>
      <c r="C251" s="39" t="s">
        <v>92</v>
      </c>
      <c r="E251" s="39" t="s">
        <v>84</v>
      </c>
      <c r="G251" s="39">
        <v>2</v>
      </c>
      <c r="K251" s="39" t="s">
        <v>93</v>
      </c>
      <c r="P251" s="39" t="s">
        <v>4</v>
      </c>
      <c r="Q251" s="39" t="s">
        <v>94</v>
      </c>
      <c r="R251" s="39" t="s">
        <v>181</v>
      </c>
    </row>
    <row r="252" spans="1:18" x14ac:dyDescent="0.25">
      <c r="A252" s="39" t="s">
        <v>212</v>
      </c>
      <c r="B252" s="39" t="s">
        <v>95</v>
      </c>
      <c r="C252" s="39" t="s">
        <v>95</v>
      </c>
      <c r="E252" s="39" t="s">
        <v>84</v>
      </c>
      <c r="G252" s="39">
        <v>2</v>
      </c>
      <c r="K252" s="39" t="s">
        <v>85</v>
      </c>
      <c r="L252" s="144">
        <v>255</v>
      </c>
      <c r="P252" s="39" t="s">
        <v>4</v>
      </c>
      <c r="Q252" s="39" t="s">
        <v>91</v>
      </c>
      <c r="R252" s="39" t="s">
        <v>181</v>
      </c>
    </row>
    <row r="253" spans="1:18" x14ac:dyDescent="0.25">
      <c r="A253" s="39" t="s">
        <v>212</v>
      </c>
      <c r="B253" s="39" t="s">
        <v>96</v>
      </c>
      <c r="C253" s="39" t="s">
        <v>96</v>
      </c>
      <c r="E253" s="39" t="s">
        <v>84</v>
      </c>
      <c r="G253" s="39">
        <v>2</v>
      </c>
      <c r="K253" s="39" t="s">
        <v>93</v>
      </c>
      <c r="P253" s="39" t="s">
        <v>4</v>
      </c>
      <c r="Q253" s="39" t="s">
        <v>94</v>
      </c>
      <c r="R253" s="39" t="s">
        <v>181</v>
      </c>
    </row>
    <row r="254" spans="1:18" s="145" customFormat="1" x14ac:dyDescent="0.25">
      <c r="A254" s="145" t="s">
        <v>286</v>
      </c>
      <c r="B254" s="145" t="s">
        <v>285</v>
      </c>
      <c r="C254" s="145" t="s">
        <v>285</v>
      </c>
      <c r="D254" s="145" t="s">
        <v>178</v>
      </c>
      <c r="G254" s="145" t="s">
        <v>179</v>
      </c>
      <c r="H254" s="146"/>
      <c r="K254" s="145" t="s">
        <v>107</v>
      </c>
      <c r="L254" s="146"/>
      <c r="N254" s="146" t="s">
        <v>180</v>
      </c>
      <c r="O254" s="146"/>
      <c r="P254" s="145" t="s">
        <v>4</v>
      </c>
      <c r="R254" s="145" t="s">
        <v>181</v>
      </c>
    </row>
    <row r="255" spans="1:18" x14ac:dyDescent="0.25">
      <c r="A255" s="39" t="s">
        <v>286</v>
      </c>
      <c r="B255" s="39" t="s">
        <v>105</v>
      </c>
      <c r="C255" s="39" t="s">
        <v>105</v>
      </c>
      <c r="D255" s="39" t="s">
        <v>182</v>
      </c>
      <c r="G255" s="39" t="s">
        <v>179</v>
      </c>
      <c r="K255" s="39" t="s">
        <v>85</v>
      </c>
      <c r="L255" s="144">
        <v>255</v>
      </c>
      <c r="P255" s="39" t="s">
        <v>4</v>
      </c>
    </row>
    <row r="256" spans="1:18" x14ac:dyDescent="0.25">
      <c r="A256" s="39" t="s">
        <v>286</v>
      </c>
      <c r="B256" s="39" t="s">
        <v>289</v>
      </c>
      <c r="C256" s="39" t="s">
        <v>289</v>
      </c>
      <c r="K256" s="39" t="s">
        <v>85</v>
      </c>
      <c r="L256" s="144">
        <v>255</v>
      </c>
    </row>
    <row r="257" spans="1:18" x14ac:dyDescent="0.25">
      <c r="A257" s="39" t="s">
        <v>286</v>
      </c>
      <c r="B257" s="39" t="s">
        <v>21</v>
      </c>
      <c r="C257" s="39" t="s">
        <v>21</v>
      </c>
      <c r="K257" s="39" t="s">
        <v>85</v>
      </c>
      <c r="L257" s="144">
        <v>1000</v>
      </c>
    </row>
    <row r="258" spans="1:18" x14ac:dyDescent="0.25">
      <c r="A258" s="39" t="s">
        <v>286</v>
      </c>
      <c r="B258" s="39" t="s">
        <v>87</v>
      </c>
      <c r="C258" s="39" t="s">
        <v>87</v>
      </c>
      <c r="E258" s="39" t="s">
        <v>84</v>
      </c>
      <c r="G258" s="39">
        <v>2</v>
      </c>
      <c r="K258" s="39" t="s">
        <v>88</v>
      </c>
      <c r="P258" s="39" t="s">
        <v>4</v>
      </c>
    </row>
    <row r="259" spans="1:18" x14ac:dyDescent="0.25">
      <c r="A259" s="39" t="s">
        <v>286</v>
      </c>
      <c r="B259" s="39" t="s">
        <v>89</v>
      </c>
      <c r="C259" s="39" t="s">
        <v>89</v>
      </c>
      <c r="E259" s="39" t="s">
        <v>84</v>
      </c>
      <c r="G259" s="39">
        <v>2</v>
      </c>
      <c r="K259" s="39" t="s">
        <v>88</v>
      </c>
      <c r="P259" s="39" t="s">
        <v>4</v>
      </c>
      <c r="R259" s="39" t="s">
        <v>181</v>
      </c>
    </row>
    <row r="260" spans="1:18" x14ac:dyDescent="0.25">
      <c r="A260" s="39" t="s">
        <v>286</v>
      </c>
      <c r="B260" s="39" t="s">
        <v>90</v>
      </c>
      <c r="C260" s="39" t="s">
        <v>90</v>
      </c>
      <c r="E260" s="39" t="s">
        <v>84</v>
      </c>
      <c r="G260" s="39">
        <v>2</v>
      </c>
      <c r="K260" s="39" t="s">
        <v>85</v>
      </c>
      <c r="L260" s="144">
        <v>255</v>
      </c>
      <c r="P260" s="39" t="s">
        <v>4</v>
      </c>
      <c r="Q260" s="39" t="s">
        <v>91</v>
      </c>
      <c r="R260" s="39" t="s">
        <v>181</v>
      </c>
    </row>
    <row r="261" spans="1:18" x14ac:dyDescent="0.25">
      <c r="A261" s="39" t="s">
        <v>286</v>
      </c>
      <c r="B261" s="39" t="s">
        <v>92</v>
      </c>
      <c r="C261" s="39" t="s">
        <v>92</v>
      </c>
      <c r="E261" s="39" t="s">
        <v>84</v>
      </c>
      <c r="G261" s="39">
        <v>2</v>
      </c>
      <c r="K261" s="39" t="s">
        <v>93</v>
      </c>
      <c r="P261" s="39" t="s">
        <v>4</v>
      </c>
      <c r="Q261" s="39" t="s">
        <v>94</v>
      </c>
      <c r="R261" s="39" t="s">
        <v>181</v>
      </c>
    </row>
    <row r="262" spans="1:18" x14ac:dyDescent="0.25">
      <c r="A262" s="39" t="s">
        <v>286</v>
      </c>
      <c r="B262" s="39" t="s">
        <v>95</v>
      </c>
      <c r="C262" s="39" t="s">
        <v>95</v>
      </c>
      <c r="E262" s="39" t="s">
        <v>84</v>
      </c>
      <c r="G262" s="39">
        <v>2</v>
      </c>
      <c r="K262" s="39" t="s">
        <v>85</v>
      </c>
      <c r="L262" s="144">
        <v>255</v>
      </c>
      <c r="P262" s="39" t="s">
        <v>4</v>
      </c>
      <c r="Q262" s="39" t="s">
        <v>91</v>
      </c>
      <c r="R262" s="39" t="s">
        <v>181</v>
      </c>
    </row>
    <row r="263" spans="1:18" x14ac:dyDescent="0.25">
      <c r="A263" s="39" t="s">
        <v>286</v>
      </c>
      <c r="B263" s="39" t="s">
        <v>96</v>
      </c>
      <c r="C263" s="39" t="s">
        <v>96</v>
      </c>
      <c r="E263" s="39" t="s">
        <v>84</v>
      </c>
      <c r="G263" s="39">
        <v>2</v>
      </c>
      <c r="K263" s="39" t="s">
        <v>93</v>
      </c>
      <c r="P263" s="39" t="s">
        <v>4</v>
      </c>
      <c r="Q263" s="39" t="s">
        <v>94</v>
      </c>
      <c r="R263" s="39" t="s">
        <v>181</v>
      </c>
    </row>
    <row r="264" spans="1:18" s="145" customFormat="1" x14ac:dyDescent="0.25">
      <c r="A264" s="145" t="s">
        <v>186</v>
      </c>
      <c r="B264" s="145" t="s">
        <v>185</v>
      </c>
      <c r="C264" s="145" t="s">
        <v>185</v>
      </c>
      <c r="D264" s="145" t="s">
        <v>178</v>
      </c>
      <c r="G264" s="145" t="s">
        <v>179</v>
      </c>
      <c r="H264" s="146"/>
      <c r="K264" s="145" t="s">
        <v>107</v>
      </c>
      <c r="L264" s="146"/>
      <c r="N264" s="146" t="s">
        <v>180</v>
      </c>
      <c r="O264" s="146"/>
      <c r="P264" s="145" t="s">
        <v>4</v>
      </c>
      <c r="R264" s="145" t="s">
        <v>181</v>
      </c>
    </row>
    <row r="265" spans="1:18" x14ac:dyDescent="0.25">
      <c r="A265" s="39" t="s">
        <v>186</v>
      </c>
      <c r="B265" s="39" t="s">
        <v>105</v>
      </c>
      <c r="C265" s="39" t="s">
        <v>105</v>
      </c>
      <c r="D265" s="39" t="s">
        <v>182</v>
      </c>
      <c r="G265" s="39" t="s">
        <v>179</v>
      </c>
      <c r="K265" s="39" t="s">
        <v>85</v>
      </c>
      <c r="L265" s="144">
        <v>255</v>
      </c>
      <c r="P265" s="39" t="s">
        <v>4</v>
      </c>
    </row>
    <row r="266" spans="1:18" x14ac:dyDescent="0.25">
      <c r="A266" s="39" t="s">
        <v>186</v>
      </c>
      <c r="B266" s="39" t="s">
        <v>290</v>
      </c>
      <c r="C266" s="39" t="s">
        <v>290</v>
      </c>
      <c r="K266" s="39" t="s">
        <v>85</v>
      </c>
      <c r="L266" s="144">
        <v>255</v>
      </c>
    </row>
    <row r="267" spans="1:18" x14ac:dyDescent="0.25">
      <c r="A267" s="39" t="s">
        <v>186</v>
      </c>
      <c r="B267" s="39" t="s">
        <v>21</v>
      </c>
      <c r="C267" s="39" t="s">
        <v>21</v>
      </c>
      <c r="K267" s="39" t="s">
        <v>85</v>
      </c>
      <c r="L267" s="144">
        <v>1000</v>
      </c>
    </row>
    <row r="268" spans="1:18" x14ac:dyDescent="0.25">
      <c r="A268" s="39" t="s">
        <v>186</v>
      </c>
      <c r="B268" s="39" t="s">
        <v>291</v>
      </c>
      <c r="C268" s="39" t="s">
        <v>291</v>
      </c>
      <c r="K268" s="39" t="s">
        <v>85</v>
      </c>
      <c r="L268" s="144">
        <v>255</v>
      </c>
    </row>
    <row r="269" spans="1:18" x14ac:dyDescent="0.25">
      <c r="A269" s="39" t="s">
        <v>186</v>
      </c>
      <c r="B269" s="39" t="s">
        <v>211</v>
      </c>
      <c r="C269" s="39" t="s">
        <v>211</v>
      </c>
      <c r="K269" s="39" t="s">
        <v>107</v>
      </c>
      <c r="N269" s="144" t="s">
        <v>108</v>
      </c>
      <c r="O269" s="144" t="s">
        <v>212</v>
      </c>
      <c r="P269" s="39" t="s">
        <v>4</v>
      </c>
    </row>
    <row r="270" spans="1:18" x14ac:dyDescent="0.25">
      <c r="A270" s="39" t="s">
        <v>186</v>
      </c>
      <c r="B270" s="39" t="s">
        <v>292</v>
      </c>
      <c r="C270" s="39" t="s">
        <v>292</v>
      </c>
      <c r="K270" s="39" t="s">
        <v>85</v>
      </c>
      <c r="L270" s="144">
        <v>255</v>
      </c>
    </row>
    <row r="271" spans="1:18" x14ac:dyDescent="0.25">
      <c r="A271" s="39" t="s">
        <v>186</v>
      </c>
      <c r="B271" s="39" t="s">
        <v>293</v>
      </c>
      <c r="C271" s="39" t="s">
        <v>293</v>
      </c>
      <c r="K271" s="39" t="s">
        <v>85</v>
      </c>
      <c r="L271" s="144">
        <v>30</v>
      </c>
    </row>
    <row r="272" spans="1:18" x14ac:dyDescent="0.25">
      <c r="A272" s="39" t="s">
        <v>186</v>
      </c>
      <c r="B272" s="39" t="s">
        <v>294</v>
      </c>
      <c r="C272" s="39" t="s">
        <v>294</v>
      </c>
      <c r="K272" s="39" t="s">
        <v>85</v>
      </c>
      <c r="L272" s="144">
        <v>30</v>
      </c>
    </row>
    <row r="273" spans="1:18" x14ac:dyDescent="0.25">
      <c r="A273" s="39" t="s">
        <v>186</v>
      </c>
      <c r="B273" s="39" t="s">
        <v>295</v>
      </c>
      <c r="C273" s="39" t="s">
        <v>295</v>
      </c>
      <c r="K273" s="39" t="s">
        <v>107</v>
      </c>
      <c r="N273" s="144" t="s">
        <v>108</v>
      </c>
      <c r="O273" s="144" t="s">
        <v>296</v>
      </c>
      <c r="P273" s="39" t="s">
        <v>4</v>
      </c>
    </row>
    <row r="274" spans="1:18" x14ac:dyDescent="0.25">
      <c r="A274" s="39" t="s">
        <v>186</v>
      </c>
      <c r="B274" s="39" t="s">
        <v>297</v>
      </c>
      <c r="C274" s="39" t="s">
        <v>297</v>
      </c>
      <c r="K274" s="39" t="s">
        <v>85</v>
      </c>
      <c r="L274" s="144">
        <v>1000</v>
      </c>
    </row>
    <row r="275" spans="1:18" x14ac:dyDescent="0.25">
      <c r="A275" s="39" t="s">
        <v>186</v>
      </c>
      <c r="B275" s="39" t="s">
        <v>193</v>
      </c>
      <c r="C275" s="39" t="s">
        <v>193</v>
      </c>
      <c r="K275" s="39" t="s">
        <v>298</v>
      </c>
      <c r="L275" s="144">
        <v>256</v>
      </c>
    </row>
    <row r="276" spans="1:18" x14ac:dyDescent="0.25">
      <c r="A276" s="39" t="s">
        <v>186</v>
      </c>
      <c r="B276" s="39" t="s">
        <v>299</v>
      </c>
      <c r="C276" s="39" t="s">
        <v>299</v>
      </c>
      <c r="K276" s="39" t="s">
        <v>85</v>
      </c>
      <c r="L276" s="144">
        <v>20</v>
      </c>
    </row>
    <row r="277" spans="1:18" x14ac:dyDescent="0.25">
      <c r="A277" s="39" t="s">
        <v>186</v>
      </c>
      <c r="B277" s="39" t="s">
        <v>300</v>
      </c>
      <c r="C277" s="39" t="s">
        <v>300</v>
      </c>
      <c r="K277" s="39" t="s">
        <v>106</v>
      </c>
      <c r="L277" s="144">
        <v>18</v>
      </c>
      <c r="M277" s="39">
        <v>2</v>
      </c>
    </row>
    <row r="278" spans="1:18" x14ac:dyDescent="0.25">
      <c r="A278" s="39" t="s">
        <v>186</v>
      </c>
      <c r="B278" s="39" t="s">
        <v>301</v>
      </c>
      <c r="C278" s="39" t="s">
        <v>301</v>
      </c>
      <c r="K278" s="39" t="s">
        <v>106</v>
      </c>
      <c r="L278" s="144">
        <v>18</v>
      </c>
      <c r="M278" s="39">
        <v>2</v>
      </c>
    </row>
    <row r="279" spans="1:18" x14ac:dyDescent="0.25">
      <c r="A279" s="39" t="s">
        <v>186</v>
      </c>
      <c r="B279" s="39" t="s">
        <v>302</v>
      </c>
      <c r="C279" s="39" t="s">
        <v>302</v>
      </c>
      <c r="K279" s="39" t="s">
        <v>121</v>
      </c>
    </row>
    <row r="280" spans="1:18" x14ac:dyDescent="0.25">
      <c r="A280" s="39" t="s">
        <v>186</v>
      </c>
      <c r="B280" s="39" t="s">
        <v>303</v>
      </c>
      <c r="C280" s="39" t="s">
        <v>303</v>
      </c>
      <c r="J280" s="39" t="s">
        <v>260</v>
      </c>
      <c r="K280" s="39" t="s">
        <v>260</v>
      </c>
    </row>
    <row r="281" spans="1:18" x14ac:dyDescent="0.25">
      <c r="A281" s="39" t="s">
        <v>186</v>
      </c>
      <c r="B281" s="39" t="s">
        <v>304</v>
      </c>
      <c r="C281" s="39" t="s">
        <v>304</v>
      </c>
      <c r="K281" s="39" t="s">
        <v>85</v>
      </c>
      <c r="L281" s="144">
        <v>30</v>
      </c>
    </row>
    <row r="282" spans="1:18" x14ac:dyDescent="0.25">
      <c r="A282" s="39" t="s">
        <v>186</v>
      </c>
      <c r="B282" s="39" t="s">
        <v>87</v>
      </c>
      <c r="C282" s="39" t="s">
        <v>87</v>
      </c>
      <c r="E282" s="39" t="s">
        <v>84</v>
      </c>
      <c r="G282" s="39">
        <v>2</v>
      </c>
      <c r="K282" s="39" t="s">
        <v>88</v>
      </c>
      <c r="P282" s="39" t="s">
        <v>4</v>
      </c>
    </row>
    <row r="283" spans="1:18" x14ac:dyDescent="0.25">
      <c r="A283" s="39" t="s">
        <v>186</v>
      </c>
      <c r="B283" s="39" t="s">
        <v>89</v>
      </c>
      <c r="C283" s="39" t="s">
        <v>89</v>
      </c>
      <c r="E283" s="39" t="s">
        <v>84</v>
      </c>
      <c r="G283" s="39">
        <v>2</v>
      </c>
      <c r="K283" s="39" t="s">
        <v>88</v>
      </c>
      <c r="P283" s="39" t="s">
        <v>4</v>
      </c>
      <c r="R283" s="39" t="s">
        <v>181</v>
      </c>
    </row>
    <row r="284" spans="1:18" x14ac:dyDescent="0.25">
      <c r="A284" s="39" t="s">
        <v>186</v>
      </c>
      <c r="B284" s="39" t="s">
        <v>90</v>
      </c>
      <c r="C284" s="39" t="s">
        <v>90</v>
      </c>
      <c r="E284" s="39" t="s">
        <v>84</v>
      </c>
      <c r="G284" s="39">
        <v>2</v>
      </c>
      <c r="K284" s="39" t="s">
        <v>85</v>
      </c>
      <c r="L284" s="144">
        <v>255</v>
      </c>
      <c r="P284" s="39" t="s">
        <v>4</v>
      </c>
      <c r="Q284" s="39" t="s">
        <v>91</v>
      </c>
      <c r="R284" s="39" t="s">
        <v>181</v>
      </c>
    </row>
    <row r="285" spans="1:18" x14ac:dyDescent="0.25">
      <c r="A285" s="39" t="s">
        <v>186</v>
      </c>
      <c r="B285" s="39" t="s">
        <v>92</v>
      </c>
      <c r="C285" s="39" t="s">
        <v>92</v>
      </c>
      <c r="E285" s="39" t="s">
        <v>84</v>
      </c>
      <c r="G285" s="39">
        <v>2</v>
      </c>
      <c r="K285" s="39" t="s">
        <v>93</v>
      </c>
      <c r="P285" s="39" t="s">
        <v>4</v>
      </c>
      <c r="Q285" s="39" t="s">
        <v>94</v>
      </c>
      <c r="R285" s="39" t="s">
        <v>181</v>
      </c>
    </row>
    <row r="286" spans="1:18" x14ac:dyDescent="0.25">
      <c r="A286" s="39" t="s">
        <v>186</v>
      </c>
      <c r="B286" s="39" t="s">
        <v>95</v>
      </c>
      <c r="C286" s="39" t="s">
        <v>95</v>
      </c>
      <c r="E286" s="39" t="s">
        <v>84</v>
      </c>
      <c r="G286" s="39">
        <v>2</v>
      </c>
      <c r="K286" s="39" t="s">
        <v>85</v>
      </c>
      <c r="L286" s="144">
        <v>255</v>
      </c>
      <c r="P286" s="39" t="s">
        <v>4</v>
      </c>
      <c r="Q286" s="39" t="s">
        <v>91</v>
      </c>
      <c r="R286" s="39" t="s">
        <v>181</v>
      </c>
    </row>
    <row r="287" spans="1:18" x14ac:dyDescent="0.25">
      <c r="A287" s="39" t="s">
        <v>186</v>
      </c>
      <c r="B287" s="39" t="s">
        <v>96</v>
      </c>
      <c r="C287" s="39" t="s">
        <v>96</v>
      </c>
      <c r="E287" s="39" t="s">
        <v>84</v>
      </c>
      <c r="G287" s="39">
        <v>2</v>
      </c>
      <c r="K287" s="39" t="s">
        <v>93</v>
      </c>
      <c r="P287" s="39" t="s">
        <v>4</v>
      </c>
      <c r="Q287" s="39" t="s">
        <v>94</v>
      </c>
      <c r="R287" s="39" t="s">
        <v>181</v>
      </c>
    </row>
    <row r="288" spans="1:18" s="145" customFormat="1" x14ac:dyDescent="0.25">
      <c r="A288" s="145" t="s">
        <v>206</v>
      </c>
      <c r="B288" s="145" t="s">
        <v>205</v>
      </c>
      <c r="C288" s="145" t="s">
        <v>205</v>
      </c>
      <c r="D288" s="145" t="s">
        <v>178</v>
      </c>
      <c r="G288" s="145" t="s">
        <v>179</v>
      </c>
      <c r="H288" s="146"/>
      <c r="K288" s="145" t="s">
        <v>107</v>
      </c>
      <c r="L288" s="146"/>
      <c r="N288" s="146" t="s">
        <v>180</v>
      </c>
      <c r="O288" s="146"/>
      <c r="P288" s="145" t="s">
        <v>4</v>
      </c>
      <c r="R288" s="145" t="s">
        <v>181</v>
      </c>
    </row>
    <row r="289" spans="1:18" x14ac:dyDescent="0.25">
      <c r="A289" s="39" t="s">
        <v>206</v>
      </c>
      <c r="B289" s="39" t="s">
        <v>105</v>
      </c>
      <c r="C289" s="39" t="s">
        <v>105</v>
      </c>
      <c r="D289" s="39" t="s">
        <v>182</v>
      </c>
      <c r="G289" s="39" t="s">
        <v>179</v>
      </c>
      <c r="K289" s="39" t="s">
        <v>85</v>
      </c>
      <c r="L289" s="144">
        <v>255</v>
      </c>
      <c r="P289" s="39" t="s">
        <v>4</v>
      </c>
    </row>
    <row r="290" spans="1:18" x14ac:dyDescent="0.25">
      <c r="A290" s="39" t="s">
        <v>206</v>
      </c>
      <c r="B290" s="39" t="s">
        <v>305</v>
      </c>
      <c r="K290" s="39" t="s">
        <v>107</v>
      </c>
      <c r="N290" s="144" t="s">
        <v>108</v>
      </c>
      <c r="O290" s="144" t="s">
        <v>306</v>
      </c>
      <c r="P290" s="39" t="s">
        <v>4</v>
      </c>
    </row>
    <row r="291" spans="1:18" x14ac:dyDescent="0.25">
      <c r="A291" s="39" t="s">
        <v>206</v>
      </c>
      <c r="B291" s="39" t="s">
        <v>307</v>
      </c>
      <c r="C291" s="39" t="s">
        <v>307</v>
      </c>
      <c r="K291" s="39" t="s">
        <v>107</v>
      </c>
      <c r="P291" s="39" t="s">
        <v>4</v>
      </c>
    </row>
    <row r="292" spans="1:18" x14ac:dyDescent="0.25">
      <c r="A292" s="39" t="s">
        <v>206</v>
      </c>
      <c r="B292" s="39" t="s">
        <v>308</v>
      </c>
      <c r="K292" s="39" t="s">
        <v>107</v>
      </c>
      <c r="N292" s="144" t="s">
        <v>108</v>
      </c>
      <c r="O292" s="144" t="s">
        <v>309</v>
      </c>
      <c r="P292" s="39" t="s">
        <v>4</v>
      </c>
    </row>
    <row r="293" spans="1:18" x14ac:dyDescent="0.25">
      <c r="A293" s="39" t="s">
        <v>206</v>
      </c>
      <c r="B293" s="39" t="s">
        <v>310</v>
      </c>
      <c r="C293" s="39" t="s">
        <v>310</v>
      </c>
      <c r="K293" s="39" t="s">
        <v>85</v>
      </c>
      <c r="L293" s="144">
        <v>255</v>
      </c>
    </row>
    <row r="294" spans="1:18" x14ac:dyDescent="0.25">
      <c r="A294" s="39" t="s">
        <v>206</v>
      </c>
      <c r="B294" s="39" t="s">
        <v>112</v>
      </c>
      <c r="C294" s="39" t="s">
        <v>112</v>
      </c>
      <c r="K294" s="39" t="s">
        <v>85</v>
      </c>
      <c r="L294" s="144">
        <v>255</v>
      </c>
    </row>
    <row r="295" spans="1:18" x14ac:dyDescent="0.25">
      <c r="A295" s="39" t="s">
        <v>206</v>
      </c>
      <c r="B295" s="39" t="s">
        <v>311</v>
      </c>
      <c r="C295" s="39" t="s">
        <v>311</v>
      </c>
      <c r="K295" s="39" t="s">
        <v>85</v>
      </c>
      <c r="L295" s="144">
        <v>255</v>
      </c>
    </row>
    <row r="296" spans="1:18" x14ac:dyDescent="0.25">
      <c r="A296" s="39" t="s">
        <v>206</v>
      </c>
      <c r="B296" s="39" t="s">
        <v>113</v>
      </c>
      <c r="C296" s="39" t="s">
        <v>113</v>
      </c>
      <c r="K296" s="39" t="s">
        <v>85</v>
      </c>
      <c r="L296" s="144">
        <v>255</v>
      </c>
    </row>
    <row r="297" spans="1:18" x14ac:dyDescent="0.25">
      <c r="A297" s="39" t="s">
        <v>206</v>
      </c>
      <c r="B297" s="39" t="s">
        <v>312</v>
      </c>
      <c r="C297" s="39" t="s">
        <v>312</v>
      </c>
      <c r="K297" s="39" t="s">
        <v>313</v>
      </c>
      <c r="L297" s="144">
        <v>1</v>
      </c>
    </row>
    <row r="298" spans="1:18" x14ac:dyDescent="0.25">
      <c r="A298" s="39" t="s">
        <v>206</v>
      </c>
      <c r="B298" s="39" t="s">
        <v>314</v>
      </c>
      <c r="C298" s="39" t="s">
        <v>314</v>
      </c>
      <c r="K298" s="39" t="s">
        <v>121</v>
      </c>
      <c r="N298" s="144" t="s">
        <v>108</v>
      </c>
      <c r="O298" s="144" t="s">
        <v>44</v>
      </c>
    </row>
    <row r="299" spans="1:18" x14ac:dyDescent="0.25">
      <c r="A299" s="39" t="s">
        <v>206</v>
      </c>
      <c r="B299" s="39" t="s">
        <v>315</v>
      </c>
      <c r="C299" s="39" t="s">
        <v>315</v>
      </c>
      <c r="K299" s="39" t="s">
        <v>298</v>
      </c>
      <c r="L299" s="144">
        <v>256</v>
      </c>
    </row>
    <row r="300" spans="1:18" x14ac:dyDescent="0.25">
      <c r="A300" s="39" t="s">
        <v>206</v>
      </c>
      <c r="B300" s="39" t="s">
        <v>316</v>
      </c>
      <c r="C300" s="39" t="s">
        <v>316</v>
      </c>
      <c r="K300" s="39" t="s">
        <v>85</v>
      </c>
      <c r="L300" s="144">
        <v>100</v>
      </c>
    </row>
    <row r="301" spans="1:18" x14ac:dyDescent="0.25">
      <c r="A301" s="39" t="s">
        <v>206</v>
      </c>
      <c r="B301" s="39" t="s">
        <v>303</v>
      </c>
      <c r="C301" s="39" t="s">
        <v>303</v>
      </c>
      <c r="K301" s="39" t="s">
        <v>283</v>
      </c>
    </row>
    <row r="302" spans="1:18" x14ac:dyDescent="0.25">
      <c r="A302" s="39" t="s">
        <v>206</v>
      </c>
      <c r="B302" s="39" t="s">
        <v>87</v>
      </c>
      <c r="C302" s="39" t="s">
        <v>87</v>
      </c>
      <c r="E302" s="39" t="s">
        <v>84</v>
      </c>
      <c r="G302" s="39">
        <v>2</v>
      </c>
      <c r="K302" s="39" t="s">
        <v>88</v>
      </c>
      <c r="P302" s="39" t="s">
        <v>4</v>
      </c>
    </row>
    <row r="303" spans="1:18" x14ac:dyDescent="0.25">
      <c r="A303" s="39" t="s">
        <v>206</v>
      </c>
      <c r="B303" s="39" t="s">
        <v>89</v>
      </c>
      <c r="C303" s="39" t="s">
        <v>89</v>
      </c>
      <c r="E303" s="39" t="s">
        <v>84</v>
      </c>
      <c r="G303" s="39">
        <v>2</v>
      </c>
      <c r="K303" s="39" t="s">
        <v>88</v>
      </c>
      <c r="P303" s="39" t="s">
        <v>4</v>
      </c>
      <c r="R303" s="39" t="s">
        <v>181</v>
      </c>
    </row>
    <row r="304" spans="1:18" x14ac:dyDescent="0.25">
      <c r="A304" s="39" t="s">
        <v>206</v>
      </c>
      <c r="B304" s="39" t="s">
        <v>90</v>
      </c>
      <c r="C304" s="39" t="s">
        <v>90</v>
      </c>
      <c r="E304" s="39" t="s">
        <v>84</v>
      </c>
      <c r="G304" s="39">
        <v>2</v>
      </c>
      <c r="K304" s="39" t="s">
        <v>85</v>
      </c>
      <c r="L304" s="144">
        <v>255</v>
      </c>
      <c r="P304" s="39" t="s">
        <v>4</v>
      </c>
      <c r="Q304" s="39" t="s">
        <v>91</v>
      </c>
      <c r="R304" s="39" t="s">
        <v>181</v>
      </c>
    </row>
    <row r="305" spans="1:18" x14ac:dyDescent="0.25">
      <c r="A305" s="39" t="s">
        <v>206</v>
      </c>
      <c r="B305" s="39" t="s">
        <v>92</v>
      </c>
      <c r="C305" s="39" t="s">
        <v>92</v>
      </c>
      <c r="E305" s="39" t="s">
        <v>84</v>
      </c>
      <c r="G305" s="39">
        <v>2</v>
      </c>
      <c r="K305" s="39" t="s">
        <v>93</v>
      </c>
      <c r="P305" s="39" t="s">
        <v>4</v>
      </c>
      <c r="Q305" s="39" t="s">
        <v>94</v>
      </c>
      <c r="R305" s="39" t="s">
        <v>181</v>
      </c>
    </row>
    <row r="306" spans="1:18" x14ac:dyDescent="0.25">
      <c r="A306" s="39" t="s">
        <v>206</v>
      </c>
      <c r="B306" s="39" t="s">
        <v>95</v>
      </c>
      <c r="C306" s="39" t="s">
        <v>95</v>
      </c>
      <c r="E306" s="39" t="s">
        <v>84</v>
      </c>
      <c r="G306" s="39">
        <v>2</v>
      </c>
      <c r="K306" s="39" t="s">
        <v>85</v>
      </c>
      <c r="L306" s="144">
        <v>255</v>
      </c>
      <c r="P306" s="39" t="s">
        <v>4</v>
      </c>
      <c r="Q306" s="39" t="s">
        <v>91</v>
      </c>
      <c r="R306" s="39" t="s">
        <v>181</v>
      </c>
    </row>
    <row r="307" spans="1:18" s="145" customFormat="1" x14ac:dyDescent="0.25">
      <c r="A307" s="145" t="s">
        <v>62</v>
      </c>
      <c r="B307" s="145" t="s">
        <v>124</v>
      </c>
      <c r="C307" s="145" t="s">
        <v>124</v>
      </c>
      <c r="D307" s="145" t="s">
        <v>178</v>
      </c>
      <c r="G307" s="145" t="s">
        <v>179</v>
      </c>
      <c r="H307" s="146"/>
      <c r="K307" s="145" t="s">
        <v>107</v>
      </c>
      <c r="L307" s="146"/>
      <c r="N307" s="146" t="s">
        <v>180</v>
      </c>
      <c r="O307" s="146"/>
      <c r="P307" s="145" t="s">
        <v>4</v>
      </c>
      <c r="R307" s="145" t="s">
        <v>181</v>
      </c>
    </row>
    <row r="308" spans="1:18" x14ac:dyDescent="0.25">
      <c r="A308" s="39" t="s">
        <v>62</v>
      </c>
      <c r="B308" s="39" t="s">
        <v>105</v>
      </c>
      <c r="C308" s="39" t="s">
        <v>105</v>
      </c>
      <c r="D308" s="39" t="s">
        <v>182</v>
      </c>
      <c r="G308" s="39" t="s">
        <v>179</v>
      </c>
      <c r="K308" s="39" t="s">
        <v>85</v>
      </c>
      <c r="L308" s="144">
        <v>255</v>
      </c>
      <c r="P308" s="39" t="s">
        <v>4</v>
      </c>
    </row>
    <row r="309" spans="1:18" x14ac:dyDescent="0.25">
      <c r="A309" s="39" t="s">
        <v>62</v>
      </c>
      <c r="B309" s="39" t="s">
        <v>317</v>
      </c>
      <c r="C309" s="39" t="s">
        <v>317</v>
      </c>
      <c r="K309" s="39" t="s">
        <v>85</v>
      </c>
      <c r="L309" s="144">
        <v>255</v>
      </c>
    </row>
    <row r="310" spans="1:18" x14ac:dyDescent="0.25">
      <c r="A310" s="39" t="s">
        <v>62</v>
      </c>
      <c r="B310" s="39" t="s">
        <v>109</v>
      </c>
      <c r="C310" s="39" t="s">
        <v>109</v>
      </c>
      <c r="K310" s="39" t="s">
        <v>313</v>
      </c>
      <c r="L310" s="144">
        <v>3</v>
      </c>
    </row>
    <row r="311" spans="1:18" x14ac:dyDescent="0.25">
      <c r="A311" s="39" t="s">
        <v>62</v>
      </c>
      <c r="B311" s="39" t="s">
        <v>87</v>
      </c>
      <c r="C311" s="39" t="s">
        <v>87</v>
      </c>
      <c r="E311" s="39" t="s">
        <v>84</v>
      </c>
      <c r="G311" s="39">
        <v>2</v>
      </c>
      <c r="K311" s="39" t="s">
        <v>88</v>
      </c>
      <c r="P311" s="39" t="s">
        <v>4</v>
      </c>
    </row>
    <row r="312" spans="1:18" x14ac:dyDescent="0.25">
      <c r="A312" s="39" t="s">
        <v>62</v>
      </c>
      <c r="B312" s="39" t="s">
        <v>89</v>
      </c>
      <c r="C312" s="39" t="s">
        <v>89</v>
      </c>
      <c r="E312" s="39" t="s">
        <v>84</v>
      </c>
      <c r="G312" s="39">
        <v>2</v>
      </c>
      <c r="K312" s="39" t="s">
        <v>88</v>
      </c>
      <c r="P312" s="39" t="s">
        <v>4</v>
      </c>
      <c r="R312" s="39" t="s">
        <v>181</v>
      </c>
    </row>
    <row r="313" spans="1:18" x14ac:dyDescent="0.25">
      <c r="A313" s="39" t="s">
        <v>62</v>
      </c>
      <c r="B313" s="39" t="s">
        <v>90</v>
      </c>
      <c r="C313" s="39" t="s">
        <v>90</v>
      </c>
      <c r="E313" s="39" t="s">
        <v>84</v>
      </c>
      <c r="G313" s="39">
        <v>2</v>
      </c>
      <c r="K313" s="39" t="s">
        <v>85</v>
      </c>
      <c r="L313" s="144">
        <v>255</v>
      </c>
      <c r="P313" s="39" t="s">
        <v>4</v>
      </c>
      <c r="Q313" s="39" t="s">
        <v>91</v>
      </c>
      <c r="R313" s="39" t="s">
        <v>181</v>
      </c>
    </row>
    <row r="314" spans="1:18" x14ac:dyDescent="0.25">
      <c r="A314" s="39" t="s">
        <v>62</v>
      </c>
      <c r="B314" s="39" t="s">
        <v>92</v>
      </c>
      <c r="C314" s="39" t="s">
        <v>92</v>
      </c>
      <c r="E314" s="39" t="s">
        <v>84</v>
      </c>
      <c r="G314" s="39">
        <v>2</v>
      </c>
      <c r="K314" s="39" t="s">
        <v>93</v>
      </c>
      <c r="P314" s="39" t="s">
        <v>4</v>
      </c>
      <c r="Q314" s="39" t="s">
        <v>94</v>
      </c>
      <c r="R314" s="39" t="s">
        <v>181</v>
      </c>
    </row>
    <row r="315" spans="1:18" x14ac:dyDescent="0.25">
      <c r="A315" s="39" t="s">
        <v>62</v>
      </c>
      <c r="B315" s="39" t="s">
        <v>95</v>
      </c>
      <c r="C315" s="39" t="s">
        <v>95</v>
      </c>
      <c r="E315" s="39" t="s">
        <v>84</v>
      </c>
      <c r="G315" s="39">
        <v>2</v>
      </c>
      <c r="K315" s="39" t="s">
        <v>85</v>
      </c>
      <c r="L315" s="144">
        <v>255</v>
      </c>
      <c r="P315" s="39" t="s">
        <v>4</v>
      </c>
      <c r="Q315" s="39" t="s">
        <v>91</v>
      </c>
      <c r="R315" s="39" t="s">
        <v>181</v>
      </c>
    </row>
    <row r="316" spans="1:18" s="145" customFormat="1" x14ac:dyDescent="0.25">
      <c r="A316" s="145" t="s">
        <v>318</v>
      </c>
      <c r="B316" s="145" t="s">
        <v>319</v>
      </c>
      <c r="C316" s="145" t="s">
        <v>319</v>
      </c>
      <c r="D316" s="145" t="s">
        <v>178</v>
      </c>
      <c r="G316" s="145" t="s">
        <v>179</v>
      </c>
      <c r="H316" s="146"/>
      <c r="K316" s="145" t="s">
        <v>107</v>
      </c>
      <c r="L316" s="146"/>
      <c r="N316" s="146" t="s">
        <v>180</v>
      </c>
      <c r="O316" s="146"/>
      <c r="P316" s="145" t="s">
        <v>4</v>
      </c>
      <c r="R316" s="145" t="s">
        <v>181</v>
      </c>
    </row>
    <row r="317" spans="1:18" x14ac:dyDescent="0.25">
      <c r="A317" s="39" t="s">
        <v>318</v>
      </c>
      <c r="B317" s="39" t="s">
        <v>105</v>
      </c>
      <c r="C317" s="39" t="s">
        <v>105</v>
      </c>
      <c r="D317" s="39" t="s">
        <v>182</v>
      </c>
      <c r="G317" s="39" t="s">
        <v>179</v>
      </c>
      <c r="K317" s="39" t="s">
        <v>85</v>
      </c>
      <c r="L317" s="144">
        <v>255</v>
      </c>
      <c r="P317" s="39" t="s">
        <v>4</v>
      </c>
    </row>
    <row r="318" spans="1:18" x14ac:dyDescent="0.25">
      <c r="A318" s="39" t="s">
        <v>318</v>
      </c>
      <c r="B318" s="39" t="s">
        <v>124</v>
      </c>
      <c r="C318" s="39" t="s">
        <v>124</v>
      </c>
      <c r="K318" s="39" t="s">
        <v>107</v>
      </c>
      <c r="N318" s="144" t="s">
        <v>108</v>
      </c>
      <c r="O318" s="144" t="s">
        <v>62</v>
      </c>
      <c r="P318" s="39" t="s">
        <v>4</v>
      </c>
    </row>
    <row r="319" spans="1:18" x14ac:dyDescent="0.25">
      <c r="A319" s="39" t="s">
        <v>318</v>
      </c>
      <c r="B319" s="39" t="s">
        <v>320</v>
      </c>
      <c r="C319" s="39" t="s">
        <v>320</v>
      </c>
      <c r="K319" s="39" t="s">
        <v>85</v>
      </c>
      <c r="L319" s="144">
        <v>30</v>
      </c>
    </row>
    <row r="320" spans="1:18" x14ac:dyDescent="0.25">
      <c r="A320" s="39" t="s">
        <v>318</v>
      </c>
      <c r="B320" s="39" t="s">
        <v>264</v>
      </c>
      <c r="C320" s="39" t="s">
        <v>264</v>
      </c>
      <c r="K320" s="39" t="s">
        <v>85</v>
      </c>
      <c r="L320" s="144">
        <v>3</v>
      </c>
    </row>
    <row r="321" spans="1:18" x14ac:dyDescent="0.25">
      <c r="A321" s="39" t="s">
        <v>318</v>
      </c>
      <c r="B321" s="39" t="s">
        <v>87</v>
      </c>
      <c r="C321" s="39" t="s">
        <v>87</v>
      </c>
      <c r="E321" s="39" t="s">
        <v>84</v>
      </c>
      <c r="G321" s="39">
        <v>2</v>
      </c>
      <c r="K321" s="39" t="s">
        <v>88</v>
      </c>
      <c r="P321" s="39" t="s">
        <v>4</v>
      </c>
    </row>
    <row r="322" spans="1:18" x14ac:dyDescent="0.25">
      <c r="A322" s="39" t="s">
        <v>318</v>
      </c>
      <c r="B322" s="39" t="s">
        <v>89</v>
      </c>
      <c r="C322" s="39" t="s">
        <v>89</v>
      </c>
      <c r="E322" s="39" t="s">
        <v>84</v>
      </c>
      <c r="G322" s="39">
        <v>2</v>
      </c>
      <c r="K322" s="39" t="s">
        <v>88</v>
      </c>
      <c r="P322" s="39" t="s">
        <v>4</v>
      </c>
      <c r="R322" s="39" t="s">
        <v>181</v>
      </c>
    </row>
    <row r="323" spans="1:18" x14ac:dyDescent="0.25">
      <c r="A323" s="39" t="s">
        <v>318</v>
      </c>
      <c r="B323" s="39" t="s">
        <v>90</v>
      </c>
      <c r="C323" s="39" t="s">
        <v>90</v>
      </c>
      <c r="E323" s="39" t="s">
        <v>84</v>
      </c>
      <c r="G323" s="39">
        <v>2</v>
      </c>
      <c r="K323" s="39" t="s">
        <v>85</v>
      </c>
      <c r="L323" s="144">
        <v>255</v>
      </c>
      <c r="P323" s="39" t="s">
        <v>4</v>
      </c>
      <c r="Q323" s="39" t="s">
        <v>91</v>
      </c>
      <c r="R323" s="39" t="s">
        <v>181</v>
      </c>
    </row>
    <row r="324" spans="1:18" x14ac:dyDescent="0.25">
      <c r="A324" s="39" t="s">
        <v>318</v>
      </c>
      <c r="B324" s="39" t="s">
        <v>92</v>
      </c>
      <c r="C324" s="39" t="s">
        <v>92</v>
      </c>
      <c r="E324" s="39" t="s">
        <v>84</v>
      </c>
      <c r="G324" s="39">
        <v>2</v>
      </c>
      <c r="K324" s="39" t="s">
        <v>93</v>
      </c>
      <c r="P324" s="39" t="s">
        <v>4</v>
      </c>
      <c r="Q324" s="39" t="s">
        <v>94</v>
      </c>
      <c r="R324" s="39" t="s">
        <v>181</v>
      </c>
    </row>
    <row r="325" spans="1:18" x14ac:dyDescent="0.25">
      <c r="A325" s="39" t="s">
        <v>318</v>
      </c>
      <c r="B325" s="39" t="s">
        <v>95</v>
      </c>
      <c r="C325" s="39" t="s">
        <v>95</v>
      </c>
      <c r="E325" s="39" t="s">
        <v>84</v>
      </c>
      <c r="G325" s="39">
        <v>2</v>
      </c>
      <c r="K325" s="39" t="s">
        <v>85</v>
      </c>
      <c r="L325" s="144">
        <v>255</v>
      </c>
      <c r="P325" s="39" t="s">
        <v>4</v>
      </c>
      <c r="Q325" s="39" t="s">
        <v>91</v>
      </c>
      <c r="R325" s="39" t="s">
        <v>181</v>
      </c>
    </row>
    <row r="326" spans="1:18" s="145" customFormat="1" x14ac:dyDescent="0.25">
      <c r="A326" s="145" t="s">
        <v>80</v>
      </c>
      <c r="B326" s="145" t="s">
        <v>125</v>
      </c>
      <c r="C326" s="145" t="s">
        <v>125</v>
      </c>
      <c r="D326" s="145" t="s">
        <v>178</v>
      </c>
      <c r="G326" s="145" t="s">
        <v>179</v>
      </c>
      <c r="H326" s="146"/>
      <c r="K326" s="145" t="s">
        <v>107</v>
      </c>
      <c r="L326" s="146"/>
      <c r="N326" s="146" t="s">
        <v>180</v>
      </c>
      <c r="O326" s="146"/>
      <c r="P326" s="145" t="s">
        <v>4</v>
      </c>
      <c r="R326" s="145" t="s">
        <v>181</v>
      </c>
    </row>
    <row r="327" spans="1:18" x14ac:dyDescent="0.25">
      <c r="A327" s="39" t="s">
        <v>80</v>
      </c>
      <c r="B327" s="39" t="s">
        <v>105</v>
      </c>
      <c r="C327" s="39" t="s">
        <v>105</v>
      </c>
      <c r="D327" s="39" t="s">
        <v>182</v>
      </c>
      <c r="G327" s="39" t="s">
        <v>179</v>
      </c>
      <c r="K327" s="39" t="s">
        <v>85</v>
      </c>
      <c r="L327" s="144">
        <v>255</v>
      </c>
      <c r="P327" s="39" t="s">
        <v>4</v>
      </c>
    </row>
    <row r="328" spans="1:18" x14ac:dyDescent="0.25">
      <c r="A328" s="39" t="s">
        <v>80</v>
      </c>
      <c r="B328" s="39" t="s">
        <v>319</v>
      </c>
      <c r="C328" s="39" t="s">
        <v>87</v>
      </c>
      <c r="K328" s="39" t="s">
        <v>107</v>
      </c>
      <c r="N328" s="144" t="s">
        <v>108</v>
      </c>
      <c r="O328" s="144" t="s">
        <v>318</v>
      </c>
      <c r="P328" s="39" t="s">
        <v>4</v>
      </c>
    </row>
    <row r="329" spans="1:18" x14ac:dyDescent="0.25">
      <c r="A329" s="39" t="s">
        <v>80</v>
      </c>
      <c r="B329" s="39" t="s">
        <v>321</v>
      </c>
      <c r="C329" s="39" t="s">
        <v>319</v>
      </c>
      <c r="K329" s="39" t="s">
        <v>85</v>
      </c>
      <c r="L329" s="144">
        <v>255</v>
      </c>
    </row>
    <row r="330" spans="1:18" x14ac:dyDescent="0.25">
      <c r="A330" s="39" t="s">
        <v>80</v>
      </c>
      <c r="B330" s="39" t="s">
        <v>87</v>
      </c>
      <c r="C330" s="39" t="s">
        <v>87</v>
      </c>
      <c r="E330" s="39" t="s">
        <v>84</v>
      </c>
      <c r="G330" s="39">
        <v>2</v>
      </c>
      <c r="K330" s="39" t="s">
        <v>88</v>
      </c>
      <c r="P330" s="39" t="s">
        <v>4</v>
      </c>
    </row>
    <row r="331" spans="1:18" x14ac:dyDescent="0.25">
      <c r="A331" s="39" t="s">
        <v>80</v>
      </c>
      <c r="B331" s="39" t="s">
        <v>89</v>
      </c>
      <c r="C331" s="39" t="s">
        <v>89</v>
      </c>
      <c r="E331" s="39" t="s">
        <v>84</v>
      </c>
      <c r="G331" s="39">
        <v>2</v>
      </c>
      <c r="K331" s="39" t="s">
        <v>88</v>
      </c>
      <c r="P331" s="39" t="s">
        <v>4</v>
      </c>
      <c r="R331" s="39" t="s">
        <v>181</v>
      </c>
    </row>
    <row r="332" spans="1:18" x14ac:dyDescent="0.25">
      <c r="A332" s="39" t="s">
        <v>80</v>
      </c>
      <c r="B332" s="39" t="s">
        <v>90</v>
      </c>
      <c r="C332" s="39" t="s">
        <v>90</v>
      </c>
      <c r="E332" s="39" t="s">
        <v>84</v>
      </c>
      <c r="G332" s="39">
        <v>2</v>
      </c>
      <c r="K332" s="39" t="s">
        <v>85</v>
      </c>
      <c r="L332" s="144">
        <v>255</v>
      </c>
      <c r="P332" s="39" t="s">
        <v>4</v>
      </c>
      <c r="Q332" s="39" t="s">
        <v>91</v>
      </c>
      <c r="R332" s="39" t="s">
        <v>181</v>
      </c>
    </row>
    <row r="333" spans="1:18" x14ac:dyDescent="0.25">
      <c r="A333" s="39" t="s">
        <v>80</v>
      </c>
      <c r="B333" s="39" t="s">
        <v>92</v>
      </c>
      <c r="C333" s="39" t="s">
        <v>92</v>
      </c>
      <c r="E333" s="39" t="s">
        <v>84</v>
      </c>
      <c r="G333" s="39">
        <v>2</v>
      </c>
      <c r="K333" s="39" t="s">
        <v>93</v>
      </c>
      <c r="P333" s="39" t="s">
        <v>4</v>
      </c>
      <c r="Q333" s="39" t="s">
        <v>94</v>
      </c>
      <c r="R333" s="39" t="s">
        <v>181</v>
      </c>
    </row>
    <row r="334" spans="1:18" x14ac:dyDescent="0.25">
      <c r="A334" s="39" t="s">
        <v>80</v>
      </c>
      <c r="B334" s="39" t="s">
        <v>95</v>
      </c>
      <c r="C334" s="39" t="s">
        <v>95</v>
      </c>
      <c r="E334" s="39" t="s">
        <v>84</v>
      </c>
      <c r="G334" s="39">
        <v>2</v>
      </c>
      <c r="K334" s="39" t="s">
        <v>85</v>
      </c>
      <c r="L334" s="144">
        <v>255</v>
      </c>
      <c r="P334" s="39" t="s">
        <v>4</v>
      </c>
      <c r="Q334" s="39" t="s">
        <v>91</v>
      </c>
      <c r="R334" s="39" t="s">
        <v>181</v>
      </c>
    </row>
    <row r="335" spans="1:18" s="145" customFormat="1" x14ac:dyDescent="0.25">
      <c r="A335" s="145" t="s">
        <v>322</v>
      </c>
      <c r="B335" s="145" t="s">
        <v>323</v>
      </c>
      <c r="C335" s="145" t="s">
        <v>323</v>
      </c>
      <c r="D335" s="145" t="s">
        <v>178</v>
      </c>
      <c r="G335" s="145" t="s">
        <v>179</v>
      </c>
      <c r="H335" s="146"/>
      <c r="K335" s="145" t="s">
        <v>107</v>
      </c>
      <c r="L335" s="146"/>
      <c r="N335" s="146" t="s">
        <v>180</v>
      </c>
      <c r="O335" s="146"/>
      <c r="P335" s="145" t="s">
        <v>4</v>
      </c>
      <c r="R335" s="145" t="s">
        <v>181</v>
      </c>
    </row>
    <row r="336" spans="1:18" x14ac:dyDescent="0.25">
      <c r="A336" s="39" t="s">
        <v>322</v>
      </c>
      <c r="B336" s="39" t="s">
        <v>105</v>
      </c>
      <c r="C336" s="39" t="s">
        <v>105</v>
      </c>
      <c r="D336" s="39" t="s">
        <v>182</v>
      </c>
      <c r="G336" s="39" t="s">
        <v>179</v>
      </c>
      <c r="K336" s="39" t="s">
        <v>85</v>
      </c>
      <c r="L336" s="144">
        <v>255</v>
      </c>
      <c r="P336" s="39" t="s">
        <v>4</v>
      </c>
    </row>
    <row r="337" spans="1:18" x14ac:dyDescent="0.25">
      <c r="A337" s="39" t="s">
        <v>322</v>
      </c>
      <c r="B337" s="39" t="s">
        <v>125</v>
      </c>
      <c r="C337" s="39" t="s">
        <v>89</v>
      </c>
      <c r="K337" s="39" t="s">
        <v>107</v>
      </c>
      <c r="N337" s="144" t="s">
        <v>108</v>
      </c>
      <c r="O337" s="144" t="s">
        <v>80</v>
      </c>
      <c r="P337" s="39" t="s">
        <v>4</v>
      </c>
    </row>
    <row r="338" spans="1:18" x14ac:dyDescent="0.25">
      <c r="A338" s="39" t="s">
        <v>322</v>
      </c>
      <c r="B338" s="39" t="s">
        <v>324</v>
      </c>
      <c r="C338" s="39" t="e">
        <v>#REF!</v>
      </c>
      <c r="K338" s="39" t="s">
        <v>85</v>
      </c>
      <c r="L338" s="144">
        <v>30</v>
      </c>
    </row>
    <row r="339" spans="1:18" x14ac:dyDescent="0.25">
      <c r="A339" s="39" t="s">
        <v>322</v>
      </c>
      <c r="B339" s="39" t="s">
        <v>325</v>
      </c>
      <c r="K339" s="39" t="s">
        <v>85</v>
      </c>
      <c r="L339" s="144">
        <v>5</v>
      </c>
    </row>
    <row r="340" spans="1:18" x14ac:dyDescent="0.25">
      <c r="A340" s="39" t="s">
        <v>322</v>
      </c>
      <c r="B340" s="39" t="s">
        <v>87</v>
      </c>
      <c r="C340" s="39" t="s">
        <v>87</v>
      </c>
      <c r="E340" s="39" t="s">
        <v>84</v>
      </c>
      <c r="G340" s="39">
        <v>2</v>
      </c>
      <c r="K340" s="39" t="s">
        <v>88</v>
      </c>
      <c r="P340" s="39" t="s">
        <v>4</v>
      </c>
    </row>
    <row r="341" spans="1:18" x14ac:dyDescent="0.25">
      <c r="A341" s="39" t="s">
        <v>322</v>
      </c>
      <c r="B341" s="39" t="s">
        <v>89</v>
      </c>
      <c r="C341" s="39" t="s">
        <v>89</v>
      </c>
      <c r="E341" s="39" t="s">
        <v>84</v>
      </c>
      <c r="G341" s="39">
        <v>2</v>
      </c>
      <c r="K341" s="39" t="s">
        <v>88</v>
      </c>
      <c r="P341" s="39" t="s">
        <v>4</v>
      </c>
      <c r="R341" s="39" t="s">
        <v>181</v>
      </c>
    </row>
    <row r="342" spans="1:18" x14ac:dyDescent="0.25">
      <c r="A342" s="39" t="s">
        <v>322</v>
      </c>
      <c r="B342" s="39" t="s">
        <v>90</v>
      </c>
      <c r="C342" s="39" t="s">
        <v>90</v>
      </c>
      <c r="E342" s="39" t="s">
        <v>84</v>
      </c>
      <c r="G342" s="39">
        <v>2</v>
      </c>
      <c r="K342" s="39" t="s">
        <v>85</v>
      </c>
      <c r="L342" s="144">
        <v>255</v>
      </c>
      <c r="P342" s="39" t="s">
        <v>4</v>
      </c>
      <c r="Q342" s="39" t="s">
        <v>91</v>
      </c>
      <c r="R342" s="39" t="s">
        <v>181</v>
      </c>
    </row>
    <row r="343" spans="1:18" x14ac:dyDescent="0.25">
      <c r="A343" s="39" t="s">
        <v>322</v>
      </c>
      <c r="B343" s="39" t="s">
        <v>92</v>
      </c>
      <c r="C343" s="39" t="s">
        <v>92</v>
      </c>
      <c r="E343" s="39" t="s">
        <v>84</v>
      </c>
      <c r="G343" s="39">
        <v>2</v>
      </c>
      <c r="K343" s="39" t="s">
        <v>93</v>
      </c>
      <c r="P343" s="39" t="s">
        <v>4</v>
      </c>
      <c r="Q343" s="39" t="s">
        <v>94</v>
      </c>
      <c r="R343" s="39" t="s">
        <v>181</v>
      </c>
    </row>
    <row r="344" spans="1:18" x14ac:dyDescent="0.25">
      <c r="A344" s="39" t="s">
        <v>322</v>
      </c>
      <c r="B344" s="39" t="s">
        <v>95</v>
      </c>
      <c r="C344" s="39" t="s">
        <v>95</v>
      </c>
      <c r="E344" s="39" t="s">
        <v>84</v>
      </c>
      <c r="G344" s="39">
        <v>2</v>
      </c>
      <c r="K344" s="39" t="s">
        <v>85</v>
      </c>
      <c r="L344" s="144">
        <v>255</v>
      </c>
      <c r="P344" s="39" t="s">
        <v>4</v>
      </c>
      <c r="Q344" s="39" t="s">
        <v>91</v>
      </c>
      <c r="R344" s="39" t="s">
        <v>181</v>
      </c>
    </row>
    <row r="345" spans="1:18" s="145" customFormat="1" x14ac:dyDescent="0.25">
      <c r="A345" s="145" t="s">
        <v>60</v>
      </c>
      <c r="B345" s="145" t="s">
        <v>126</v>
      </c>
      <c r="C345" s="145" t="s">
        <v>126</v>
      </c>
      <c r="D345" s="145" t="s">
        <v>178</v>
      </c>
      <c r="G345" s="145" t="s">
        <v>179</v>
      </c>
      <c r="H345" s="146"/>
      <c r="K345" s="145" t="s">
        <v>107</v>
      </c>
      <c r="L345" s="146"/>
      <c r="N345" s="146" t="s">
        <v>180</v>
      </c>
      <c r="O345" s="146"/>
      <c r="P345" s="145" t="s">
        <v>4</v>
      </c>
      <c r="R345" s="145" t="s">
        <v>181</v>
      </c>
    </row>
    <row r="346" spans="1:18" x14ac:dyDescent="0.25">
      <c r="A346" s="39" t="s">
        <v>60</v>
      </c>
      <c r="B346" s="39" t="s">
        <v>105</v>
      </c>
      <c r="C346" s="39" t="s">
        <v>105</v>
      </c>
      <c r="D346" s="39" t="s">
        <v>182</v>
      </c>
      <c r="G346" s="39" t="s">
        <v>179</v>
      </c>
      <c r="K346" s="39" t="s">
        <v>85</v>
      </c>
      <c r="L346" s="144">
        <v>255</v>
      </c>
      <c r="P346" s="39" t="s">
        <v>4</v>
      </c>
    </row>
    <row r="347" spans="1:18" x14ac:dyDescent="0.25">
      <c r="A347" s="39" t="s">
        <v>60</v>
      </c>
      <c r="B347" s="39" t="s">
        <v>323</v>
      </c>
      <c r="C347" s="39" t="s">
        <v>90</v>
      </c>
      <c r="K347" s="39" t="s">
        <v>107</v>
      </c>
      <c r="N347" s="144" t="s">
        <v>108</v>
      </c>
      <c r="O347" s="144" t="s">
        <v>322</v>
      </c>
      <c r="P347" s="39" t="s">
        <v>4</v>
      </c>
    </row>
    <row r="348" spans="1:18" x14ac:dyDescent="0.25">
      <c r="A348" s="39" t="s">
        <v>60</v>
      </c>
      <c r="B348" s="39" t="s">
        <v>326</v>
      </c>
      <c r="C348" s="39" t="e">
        <v>#REF!</v>
      </c>
      <c r="K348" s="39" t="s">
        <v>85</v>
      </c>
      <c r="L348" s="144">
        <v>255</v>
      </c>
    </row>
    <row r="349" spans="1:18" x14ac:dyDescent="0.25">
      <c r="A349" s="39" t="s">
        <v>60</v>
      </c>
      <c r="B349" s="39" t="s">
        <v>87</v>
      </c>
      <c r="C349" s="39" t="s">
        <v>87</v>
      </c>
      <c r="E349" s="39" t="s">
        <v>84</v>
      </c>
      <c r="G349" s="39">
        <v>2</v>
      </c>
      <c r="K349" s="39" t="s">
        <v>88</v>
      </c>
      <c r="P349" s="39" t="s">
        <v>4</v>
      </c>
    </row>
    <row r="350" spans="1:18" x14ac:dyDescent="0.25">
      <c r="A350" s="39" t="s">
        <v>60</v>
      </c>
      <c r="B350" s="39" t="s">
        <v>89</v>
      </c>
      <c r="C350" s="39" t="s">
        <v>89</v>
      </c>
      <c r="E350" s="39" t="s">
        <v>84</v>
      </c>
      <c r="G350" s="39">
        <v>2</v>
      </c>
      <c r="K350" s="39" t="s">
        <v>88</v>
      </c>
      <c r="P350" s="39" t="s">
        <v>4</v>
      </c>
      <c r="R350" s="39" t="s">
        <v>181</v>
      </c>
    </row>
    <row r="351" spans="1:18" x14ac:dyDescent="0.25">
      <c r="A351" s="39" t="s">
        <v>60</v>
      </c>
      <c r="B351" s="39" t="s">
        <v>90</v>
      </c>
      <c r="C351" s="39" t="s">
        <v>90</v>
      </c>
      <c r="E351" s="39" t="s">
        <v>84</v>
      </c>
      <c r="G351" s="39">
        <v>2</v>
      </c>
      <c r="K351" s="39" t="s">
        <v>85</v>
      </c>
      <c r="L351" s="144">
        <v>255</v>
      </c>
      <c r="P351" s="39" t="s">
        <v>4</v>
      </c>
      <c r="Q351" s="39" t="s">
        <v>91</v>
      </c>
      <c r="R351" s="39" t="s">
        <v>181</v>
      </c>
    </row>
    <row r="352" spans="1:18" x14ac:dyDescent="0.25">
      <c r="A352" s="39" t="s">
        <v>60</v>
      </c>
      <c r="B352" s="39" t="s">
        <v>92</v>
      </c>
      <c r="C352" s="39" t="s">
        <v>92</v>
      </c>
      <c r="E352" s="39" t="s">
        <v>84</v>
      </c>
      <c r="G352" s="39">
        <v>2</v>
      </c>
      <c r="K352" s="39" t="s">
        <v>93</v>
      </c>
      <c r="P352" s="39" t="s">
        <v>4</v>
      </c>
      <c r="Q352" s="39" t="s">
        <v>94</v>
      </c>
      <c r="R352" s="39" t="s">
        <v>181</v>
      </c>
    </row>
    <row r="353" spans="1:18" x14ac:dyDescent="0.25">
      <c r="A353" s="39" t="s">
        <v>60</v>
      </c>
      <c r="B353" s="39" t="s">
        <v>95</v>
      </c>
      <c r="C353" s="39" t="s">
        <v>95</v>
      </c>
      <c r="E353" s="39" t="s">
        <v>84</v>
      </c>
      <c r="G353" s="39">
        <v>2</v>
      </c>
      <c r="K353" s="39" t="s">
        <v>85</v>
      </c>
      <c r="L353" s="144">
        <v>255</v>
      </c>
      <c r="P353" s="39" t="s">
        <v>4</v>
      </c>
      <c r="Q353" s="39" t="s">
        <v>91</v>
      </c>
      <c r="R353" s="39" t="s">
        <v>181</v>
      </c>
    </row>
    <row r="354" spans="1:18" s="145" customFormat="1" x14ac:dyDescent="0.25">
      <c r="A354" s="145" t="s">
        <v>327</v>
      </c>
      <c r="B354" s="145" t="s">
        <v>328</v>
      </c>
      <c r="C354" s="145" t="s">
        <v>328</v>
      </c>
      <c r="D354" s="145" t="s">
        <v>178</v>
      </c>
      <c r="G354" s="145" t="s">
        <v>179</v>
      </c>
      <c r="H354" s="146"/>
      <c r="K354" s="145" t="s">
        <v>107</v>
      </c>
      <c r="L354" s="146"/>
      <c r="N354" s="146" t="s">
        <v>180</v>
      </c>
      <c r="O354" s="146"/>
      <c r="P354" s="145" t="s">
        <v>4</v>
      </c>
      <c r="R354" s="145" t="s">
        <v>181</v>
      </c>
    </row>
    <row r="355" spans="1:18" x14ac:dyDescent="0.25">
      <c r="A355" s="39" t="s">
        <v>327</v>
      </c>
      <c r="B355" s="39" t="s">
        <v>105</v>
      </c>
      <c r="C355" s="39" t="s">
        <v>105</v>
      </c>
      <c r="D355" s="39" t="s">
        <v>182</v>
      </c>
      <c r="G355" s="39" t="s">
        <v>179</v>
      </c>
      <c r="K355" s="39" t="s">
        <v>85</v>
      </c>
      <c r="L355" s="144">
        <v>255</v>
      </c>
      <c r="P355" s="39" t="s">
        <v>4</v>
      </c>
    </row>
    <row r="356" spans="1:18" x14ac:dyDescent="0.25">
      <c r="A356" s="39" t="s">
        <v>327</v>
      </c>
      <c r="B356" s="39" t="s">
        <v>329</v>
      </c>
      <c r="C356" s="39" t="s">
        <v>329</v>
      </c>
      <c r="K356" s="39" t="s">
        <v>85</v>
      </c>
      <c r="L356" s="144">
        <v>255</v>
      </c>
    </row>
    <row r="357" spans="1:18" x14ac:dyDescent="0.25">
      <c r="A357" s="39" t="s">
        <v>327</v>
      </c>
      <c r="B357" s="39" t="s">
        <v>21</v>
      </c>
      <c r="C357" s="39" t="s">
        <v>21</v>
      </c>
      <c r="K357" s="39" t="s">
        <v>85</v>
      </c>
      <c r="L357" s="144">
        <v>8000</v>
      </c>
    </row>
    <row r="358" spans="1:18" x14ac:dyDescent="0.25">
      <c r="A358" s="39" t="s">
        <v>327</v>
      </c>
      <c r="B358" s="39" t="s">
        <v>87</v>
      </c>
      <c r="C358" s="39" t="s">
        <v>87</v>
      </c>
      <c r="E358" s="39" t="s">
        <v>84</v>
      </c>
      <c r="G358" s="39">
        <v>2</v>
      </c>
      <c r="K358" s="39" t="s">
        <v>88</v>
      </c>
      <c r="P358" s="39" t="s">
        <v>4</v>
      </c>
    </row>
    <row r="359" spans="1:18" x14ac:dyDescent="0.25">
      <c r="A359" s="39" t="s">
        <v>327</v>
      </c>
      <c r="B359" s="39" t="s">
        <v>89</v>
      </c>
      <c r="C359" s="39" t="s">
        <v>89</v>
      </c>
      <c r="E359" s="39" t="s">
        <v>84</v>
      </c>
      <c r="G359" s="39">
        <v>2</v>
      </c>
      <c r="K359" s="39" t="s">
        <v>88</v>
      </c>
      <c r="P359" s="39" t="s">
        <v>4</v>
      </c>
      <c r="R359" s="39" t="s">
        <v>181</v>
      </c>
    </row>
    <row r="360" spans="1:18" x14ac:dyDescent="0.25">
      <c r="A360" s="39" t="s">
        <v>327</v>
      </c>
      <c r="B360" s="39" t="s">
        <v>90</v>
      </c>
      <c r="C360" s="39" t="s">
        <v>90</v>
      </c>
      <c r="E360" s="39" t="s">
        <v>84</v>
      </c>
      <c r="G360" s="39">
        <v>2</v>
      </c>
      <c r="K360" s="39" t="s">
        <v>85</v>
      </c>
      <c r="L360" s="144">
        <v>255</v>
      </c>
      <c r="P360" s="39" t="s">
        <v>4</v>
      </c>
      <c r="Q360" s="39" t="s">
        <v>91</v>
      </c>
      <c r="R360" s="39" t="s">
        <v>181</v>
      </c>
    </row>
    <row r="361" spans="1:18" x14ac:dyDescent="0.25">
      <c r="A361" s="39" t="s">
        <v>327</v>
      </c>
      <c r="B361" s="39" t="s">
        <v>92</v>
      </c>
      <c r="C361" s="39" t="s">
        <v>92</v>
      </c>
      <c r="E361" s="39" t="s">
        <v>84</v>
      </c>
      <c r="G361" s="39">
        <v>2</v>
      </c>
      <c r="K361" s="39" t="s">
        <v>93</v>
      </c>
      <c r="P361" s="39" t="s">
        <v>4</v>
      </c>
      <c r="Q361" s="39" t="s">
        <v>94</v>
      </c>
      <c r="R361" s="39" t="s">
        <v>181</v>
      </c>
    </row>
    <row r="362" spans="1:18" x14ac:dyDescent="0.25">
      <c r="A362" s="39" t="s">
        <v>327</v>
      </c>
      <c r="B362" s="39" t="s">
        <v>95</v>
      </c>
      <c r="C362" s="39" t="s">
        <v>95</v>
      </c>
      <c r="E362" s="39" t="s">
        <v>84</v>
      </c>
      <c r="G362" s="39">
        <v>2</v>
      </c>
      <c r="K362" s="39" t="s">
        <v>85</v>
      </c>
      <c r="L362" s="144">
        <v>255</v>
      </c>
      <c r="P362" s="39" t="s">
        <v>4</v>
      </c>
      <c r="Q362" s="39" t="s">
        <v>91</v>
      </c>
      <c r="R362" s="39" t="s">
        <v>181</v>
      </c>
    </row>
    <row r="363" spans="1:18" s="145" customFormat="1" x14ac:dyDescent="0.25">
      <c r="A363" s="145" t="s">
        <v>330</v>
      </c>
      <c r="B363" s="145" t="s">
        <v>307</v>
      </c>
      <c r="C363" s="145" t="s">
        <v>307</v>
      </c>
      <c r="D363" s="145" t="s">
        <v>178</v>
      </c>
      <c r="G363" s="145" t="s">
        <v>179</v>
      </c>
      <c r="H363" s="146"/>
      <c r="K363" s="145" t="s">
        <v>107</v>
      </c>
      <c r="L363" s="146"/>
      <c r="N363" s="146" t="s">
        <v>180</v>
      </c>
      <c r="O363" s="146"/>
      <c r="P363" s="145" t="s">
        <v>4</v>
      </c>
      <c r="R363" s="145" t="s">
        <v>181</v>
      </c>
    </row>
    <row r="364" spans="1:18" x14ac:dyDescent="0.25">
      <c r="A364" s="39" t="s">
        <v>330</v>
      </c>
      <c r="B364" s="39" t="s">
        <v>105</v>
      </c>
      <c r="C364" s="39" t="s">
        <v>105</v>
      </c>
      <c r="D364" s="39" t="s">
        <v>182</v>
      </c>
      <c r="G364" s="39" t="s">
        <v>179</v>
      </c>
      <c r="K364" s="39" t="s">
        <v>85</v>
      </c>
      <c r="L364" s="144">
        <v>255</v>
      </c>
      <c r="P364" s="39" t="s">
        <v>4</v>
      </c>
    </row>
    <row r="365" spans="1:18" x14ac:dyDescent="0.25">
      <c r="A365" s="39" t="s">
        <v>330</v>
      </c>
      <c r="B365" s="39" t="s">
        <v>331</v>
      </c>
      <c r="C365" s="39" t="s">
        <v>331</v>
      </c>
      <c r="K365" s="39" t="s">
        <v>85</v>
      </c>
      <c r="L365" s="144">
        <v>255</v>
      </c>
    </row>
    <row r="366" spans="1:18" x14ac:dyDescent="0.25">
      <c r="A366" s="39" t="s">
        <v>330</v>
      </c>
      <c r="B366" s="39" t="s">
        <v>87</v>
      </c>
      <c r="C366" s="39" t="s">
        <v>87</v>
      </c>
      <c r="E366" s="39" t="s">
        <v>84</v>
      </c>
      <c r="G366" s="39">
        <v>2</v>
      </c>
      <c r="K366" s="39" t="s">
        <v>88</v>
      </c>
      <c r="P366" s="39" t="s">
        <v>4</v>
      </c>
    </row>
    <row r="367" spans="1:18" x14ac:dyDescent="0.25">
      <c r="A367" s="39" t="s">
        <v>330</v>
      </c>
      <c r="B367" s="39" t="s">
        <v>89</v>
      </c>
      <c r="C367" s="39" t="s">
        <v>89</v>
      </c>
      <c r="E367" s="39" t="s">
        <v>84</v>
      </c>
      <c r="G367" s="39">
        <v>2</v>
      </c>
      <c r="K367" s="39" t="s">
        <v>88</v>
      </c>
      <c r="P367" s="39" t="s">
        <v>4</v>
      </c>
      <c r="R367" s="39" t="s">
        <v>181</v>
      </c>
    </row>
    <row r="368" spans="1:18" x14ac:dyDescent="0.25">
      <c r="A368" s="39" t="s">
        <v>330</v>
      </c>
      <c r="B368" s="39" t="s">
        <v>90</v>
      </c>
      <c r="C368" s="39" t="s">
        <v>90</v>
      </c>
      <c r="E368" s="39" t="s">
        <v>84</v>
      </c>
      <c r="G368" s="39">
        <v>2</v>
      </c>
      <c r="K368" s="39" t="s">
        <v>85</v>
      </c>
      <c r="L368" s="144">
        <v>255</v>
      </c>
      <c r="P368" s="39" t="s">
        <v>4</v>
      </c>
      <c r="Q368" s="39" t="s">
        <v>91</v>
      </c>
      <c r="R368" s="39" t="s">
        <v>181</v>
      </c>
    </row>
    <row r="369" spans="1:18" x14ac:dyDescent="0.25">
      <c r="A369" s="39" t="s">
        <v>330</v>
      </c>
      <c r="B369" s="39" t="s">
        <v>92</v>
      </c>
      <c r="C369" s="39" t="s">
        <v>92</v>
      </c>
      <c r="E369" s="39" t="s">
        <v>84</v>
      </c>
      <c r="G369" s="39">
        <v>2</v>
      </c>
      <c r="K369" s="39" t="s">
        <v>93</v>
      </c>
      <c r="P369" s="39" t="s">
        <v>4</v>
      </c>
      <c r="Q369" s="39" t="s">
        <v>94</v>
      </c>
      <c r="R369" s="39" t="s">
        <v>181</v>
      </c>
    </row>
    <row r="370" spans="1:18" x14ac:dyDescent="0.25">
      <c r="A370" s="39" t="s">
        <v>330</v>
      </c>
      <c r="B370" s="39" t="s">
        <v>95</v>
      </c>
      <c r="C370" s="39" t="s">
        <v>95</v>
      </c>
      <c r="E370" s="39" t="s">
        <v>84</v>
      </c>
      <c r="G370" s="39">
        <v>2</v>
      </c>
      <c r="K370" s="39" t="s">
        <v>85</v>
      </c>
      <c r="L370" s="144">
        <v>255</v>
      </c>
      <c r="P370" s="39" t="s">
        <v>4</v>
      </c>
      <c r="Q370" s="39" t="s">
        <v>91</v>
      </c>
      <c r="R370" s="39" t="s">
        <v>181</v>
      </c>
    </row>
    <row r="371" spans="1:18" s="145" customFormat="1" x14ac:dyDescent="0.25">
      <c r="A371" s="145" t="s">
        <v>306</v>
      </c>
      <c r="B371" s="145" t="s">
        <v>305</v>
      </c>
      <c r="C371" s="145" t="s">
        <v>305</v>
      </c>
      <c r="D371" s="145" t="s">
        <v>178</v>
      </c>
      <c r="G371" s="145" t="s">
        <v>179</v>
      </c>
      <c r="H371" s="146"/>
      <c r="K371" s="145" t="s">
        <v>107</v>
      </c>
      <c r="L371" s="146"/>
      <c r="N371" s="146" t="s">
        <v>180</v>
      </c>
      <c r="O371" s="146"/>
      <c r="P371" s="145" t="s">
        <v>4</v>
      </c>
      <c r="R371" s="145" t="s">
        <v>181</v>
      </c>
    </row>
    <row r="372" spans="1:18" x14ac:dyDescent="0.25">
      <c r="A372" s="39" t="s">
        <v>306</v>
      </c>
      <c r="B372" s="39" t="s">
        <v>105</v>
      </c>
      <c r="C372" s="39" t="s">
        <v>105</v>
      </c>
      <c r="D372" s="39" t="s">
        <v>182</v>
      </c>
      <c r="G372" s="39" t="s">
        <v>179</v>
      </c>
      <c r="K372" s="39" t="s">
        <v>85</v>
      </c>
      <c r="L372" s="144">
        <v>255</v>
      </c>
      <c r="P372" s="39" t="s">
        <v>4</v>
      </c>
    </row>
    <row r="373" spans="1:18" x14ac:dyDescent="0.25">
      <c r="A373" s="39" t="s">
        <v>306</v>
      </c>
      <c r="B373" s="39" t="s">
        <v>328</v>
      </c>
      <c r="C373" s="39" t="s">
        <v>328</v>
      </c>
      <c r="K373" s="39" t="s">
        <v>107</v>
      </c>
      <c r="N373" s="144" t="s">
        <v>108</v>
      </c>
      <c r="O373" s="144" t="s">
        <v>327</v>
      </c>
      <c r="P373" s="39" t="s">
        <v>4</v>
      </c>
    </row>
    <row r="374" spans="1:18" x14ac:dyDescent="0.25">
      <c r="A374" s="39" t="s">
        <v>306</v>
      </c>
      <c r="B374" s="39" t="s">
        <v>332</v>
      </c>
      <c r="C374" s="39" t="s">
        <v>332</v>
      </c>
      <c r="K374" s="39" t="s">
        <v>107</v>
      </c>
      <c r="N374" s="144" t="s">
        <v>108</v>
      </c>
      <c r="O374" s="144" t="s">
        <v>206</v>
      </c>
      <c r="P374" s="39" t="s">
        <v>4</v>
      </c>
    </row>
    <row r="375" spans="1:18" x14ac:dyDescent="0.25">
      <c r="A375" s="39" t="s">
        <v>306</v>
      </c>
      <c r="B375" s="39" t="s">
        <v>205</v>
      </c>
      <c r="C375" s="39" t="s">
        <v>205</v>
      </c>
      <c r="K375" s="39" t="s">
        <v>107</v>
      </c>
      <c r="N375" s="144" t="s">
        <v>108</v>
      </c>
      <c r="O375" s="144" t="s">
        <v>206</v>
      </c>
      <c r="P375" s="39" t="s">
        <v>4</v>
      </c>
    </row>
    <row r="376" spans="1:18" x14ac:dyDescent="0.25">
      <c r="A376" s="39" t="s">
        <v>306</v>
      </c>
      <c r="B376" s="39" t="s">
        <v>333</v>
      </c>
      <c r="C376" s="39" t="s">
        <v>333</v>
      </c>
      <c r="K376" s="39" t="s">
        <v>107</v>
      </c>
      <c r="N376" s="144" t="s">
        <v>108</v>
      </c>
      <c r="O376" s="144" t="s">
        <v>334</v>
      </c>
      <c r="P376" s="39" t="s">
        <v>4</v>
      </c>
    </row>
    <row r="377" spans="1:18" x14ac:dyDescent="0.25">
      <c r="A377" s="39" t="s">
        <v>306</v>
      </c>
      <c r="B377" s="39" t="s">
        <v>335</v>
      </c>
      <c r="C377" s="39" t="s">
        <v>335</v>
      </c>
      <c r="K377" s="39" t="s">
        <v>107</v>
      </c>
      <c r="N377" s="144" t="s">
        <v>108</v>
      </c>
      <c r="O377" s="144" t="s">
        <v>336</v>
      </c>
      <c r="P377" s="39" t="s">
        <v>4</v>
      </c>
    </row>
    <row r="378" spans="1:18" x14ac:dyDescent="0.25">
      <c r="A378" s="39" t="s">
        <v>306</v>
      </c>
      <c r="B378" s="39" t="s">
        <v>337</v>
      </c>
      <c r="C378" s="39" t="s">
        <v>337</v>
      </c>
      <c r="K378" s="39" t="s">
        <v>107</v>
      </c>
      <c r="N378" s="144" t="s">
        <v>108</v>
      </c>
      <c r="O378" s="144" t="s">
        <v>338</v>
      </c>
      <c r="P378" s="39" t="s">
        <v>4</v>
      </c>
    </row>
    <row r="379" spans="1:18" x14ac:dyDescent="0.25">
      <c r="A379" s="39" t="s">
        <v>306</v>
      </c>
      <c r="B379" s="39" t="s">
        <v>339</v>
      </c>
      <c r="C379" s="39" t="s">
        <v>339</v>
      </c>
      <c r="K379" s="39" t="s">
        <v>85</v>
      </c>
      <c r="L379" s="144">
        <v>12</v>
      </c>
    </row>
    <row r="380" spans="1:18" x14ac:dyDescent="0.25">
      <c r="A380" s="39" t="s">
        <v>306</v>
      </c>
      <c r="B380" s="39" t="s">
        <v>340</v>
      </c>
      <c r="C380" s="39" t="s">
        <v>340</v>
      </c>
      <c r="K380" s="39" t="s">
        <v>85</v>
      </c>
      <c r="L380" s="144">
        <v>12</v>
      </c>
    </row>
    <row r="381" spans="1:18" x14ac:dyDescent="0.25">
      <c r="A381" s="39" t="s">
        <v>306</v>
      </c>
      <c r="B381" s="39" t="s">
        <v>341</v>
      </c>
      <c r="C381" s="39" t="s">
        <v>341</v>
      </c>
      <c r="K381" s="39" t="s">
        <v>283</v>
      </c>
    </row>
    <row r="382" spans="1:18" x14ac:dyDescent="0.25">
      <c r="A382" s="39" t="s">
        <v>306</v>
      </c>
      <c r="B382" s="39" t="s">
        <v>282</v>
      </c>
      <c r="C382" s="39" t="s">
        <v>282</v>
      </c>
      <c r="K382" s="39" t="s">
        <v>283</v>
      </c>
    </row>
    <row r="383" spans="1:18" x14ac:dyDescent="0.25">
      <c r="A383" s="39" t="s">
        <v>306</v>
      </c>
      <c r="B383" s="39" t="s">
        <v>303</v>
      </c>
      <c r="C383" s="39" t="s">
        <v>303</v>
      </c>
      <c r="K383" s="39" t="s">
        <v>283</v>
      </c>
    </row>
    <row r="384" spans="1:18" x14ac:dyDescent="0.25">
      <c r="A384" s="39" t="s">
        <v>306</v>
      </c>
      <c r="B384" s="39" t="s">
        <v>87</v>
      </c>
      <c r="C384" s="39" t="s">
        <v>87</v>
      </c>
      <c r="E384" s="39" t="s">
        <v>84</v>
      </c>
      <c r="G384" s="39">
        <v>2</v>
      </c>
      <c r="K384" s="39" t="s">
        <v>88</v>
      </c>
      <c r="P384" s="39" t="s">
        <v>4</v>
      </c>
    </row>
    <row r="385" spans="1:18" x14ac:dyDescent="0.25">
      <c r="A385" s="39" t="s">
        <v>306</v>
      </c>
      <c r="B385" s="39" t="s">
        <v>89</v>
      </c>
      <c r="C385" s="39" t="s">
        <v>89</v>
      </c>
      <c r="E385" s="39" t="s">
        <v>84</v>
      </c>
      <c r="G385" s="39">
        <v>2</v>
      </c>
      <c r="K385" s="39" t="s">
        <v>88</v>
      </c>
      <c r="P385" s="39" t="s">
        <v>4</v>
      </c>
      <c r="R385" s="39" t="s">
        <v>181</v>
      </c>
    </row>
    <row r="386" spans="1:18" x14ac:dyDescent="0.25">
      <c r="A386" s="39" t="s">
        <v>306</v>
      </c>
      <c r="B386" s="39" t="s">
        <v>90</v>
      </c>
      <c r="C386" s="39" t="s">
        <v>90</v>
      </c>
      <c r="E386" s="39" t="s">
        <v>84</v>
      </c>
      <c r="G386" s="39">
        <v>2</v>
      </c>
      <c r="K386" s="39" t="s">
        <v>85</v>
      </c>
      <c r="L386" s="144">
        <v>255</v>
      </c>
      <c r="P386" s="39" t="s">
        <v>4</v>
      </c>
      <c r="Q386" s="39" t="s">
        <v>91</v>
      </c>
      <c r="R386" s="39" t="s">
        <v>181</v>
      </c>
    </row>
    <row r="387" spans="1:18" x14ac:dyDescent="0.25">
      <c r="A387" s="39" t="s">
        <v>306</v>
      </c>
      <c r="B387" s="39" t="s">
        <v>92</v>
      </c>
      <c r="C387" s="39" t="s">
        <v>92</v>
      </c>
      <c r="E387" s="39" t="s">
        <v>84</v>
      </c>
      <c r="G387" s="39">
        <v>2</v>
      </c>
      <c r="K387" s="39" t="s">
        <v>93</v>
      </c>
      <c r="P387" s="39" t="s">
        <v>4</v>
      </c>
      <c r="Q387" s="39" t="s">
        <v>94</v>
      </c>
      <c r="R387" s="39" t="s">
        <v>181</v>
      </c>
    </row>
    <row r="388" spans="1:18" x14ac:dyDescent="0.25">
      <c r="A388" s="39" t="s">
        <v>306</v>
      </c>
      <c r="B388" s="39" t="s">
        <v>95</v>
      </c>
      <c r="C388" s="39" t="s">
        <v>95</v>
      </c>
      <c r="E388" s="39" t="s">
        <v>84</v>
      </c>
      <c r="G388" s="39">
        <v>2</v>
      </c>
      <c r="K388" s="39" t="s">
        <v>85</v>
      </c>
      <c r="L388" s="144">
        <v>255</v>
      </c>
      <c r="P388" s="39" t="s">
        <v>4</v>
      </c>
      <c r="Q388" s="39" t="s">
        <v>91</v>
      </c>
      <c r="R388" s="39" t="s">
        <v>181</v>
      </c>
    </row>
    <row r="389" spans="1:18" s="145" customFormat="1" x14ac:dyDescent="0.25">
      <c r="A389" s="145" t="s">
        <v>342</v>
      </c>
      <c r="B389" s="145" t="s">
        <v>343</v>
      </c>
      <c r="C389" s="145" t="s">
        <v>343</v>
      </c>
      <c r="D389" s="145" t="s">
        <v>178</v>
      </c>
      <c r="G389" s="145" t="s">
        <v>179</v>
      </c>
      <c r="H389" s="146"/>
      <c r="K389" s="145" t="s">
        <v>107</v>
      </c>
      <c r="L389" s="146"/>
      <c r="N389" s="146" t="s">
        <v>180</v>
      </c>
      <c r="O389" s="146"/>
      <c r="P389" s="145" t="s">
        <v>4</v>
      </c>
      <c r="R389" s="145" t="s">
        <v>181</v>
      </c>
    </row>
    <row r="390" spans="1:18" x14ac:dyDescent="0.25">
      <c r="A390" s="39" t="s">
        <v>342</v>
      </c>
      <c r="B390" s="39" t="s">
        <v>105</v>
      </c>
      <c r="C390" s="39" t="s">
        <v>105</v>
      </c>
      <c r="D390" s="39" t="s">
        <v>182</v>
      </c>
      <c r="G390" s="39" t="s">
        <v>179</v>
      </c>
      <c r="K390" s="39" t="s">
        <v>85</v>
      </c>
      <c r="L390" s="144">
        <v>255</v>
      </c>
      <c r="P390" s="39" t="s">
        <v>4</v>
      </c>
    </row>
    <row r="391" spans="1:18" x14ac:dyDescent="0.25">
      <c r="A391" s="39" t="s">
        <v>342</v>
      </c>
      <c r="B391" s="39" t="s">
        <v>344</v>
      </c>
      <c r="C391" s="39" t="s">
        <v>344</v>
      </c>
      <c r="K391" s="39" t="s">
        <v>85</v>
      </c>
      <c r="L391" s="144">
        <v>255</v>
      </c>
    </row>
    <row r="392" spans="1:18" x14ac:dyDescent="0.25">
      <c r="A392" s="39" t="s">
        <v>342</v>
      </c>
      <c r="B392" s="39" t="s">
        <v>87</v>
      </c>
      <c r="C392" s="39" t="s">
        <v>87</v>
      </c>
      <c r="E392" s="39" t="s">
        <v>84</v>
      </c>
      <c r="G392" s="39">
        <v>2</v>
      </c>
      <c r="K392" s="39" t="s">
        <v>88</v>
      </c>
      <c r="P392" s="39" t="s">
        <v>4</v>
      </c>
    </row>
    <row r="393" spans="1:18" x14ac:dyDescent="0.25">
      <c r="A393" s="39" t="s">
        <v>342</v>
      </c>
      <c r="B393" s="39" t="s">
        <v>89</v>
      </c>
      <c r="C393" s="39" t="s">
        <v>89</v>
      </c>
      <c r="E393" s="39" t="s">
        <v>84</v>
      </c>
      <c r="G393" s="39">
        <v>2</v>
      </c>
      <c r="K393" s="39" t="s">
        <v>88</v>
      </c>
      <c r="P393" s="39" t="s">
        <v>4</v>
      </c>
      <c r="R393" s="39" t="s">
        <v>181</v>
      </c>
    </row>
    <row r="394" spans="1:18" x14ac:dyDescent="0.25">
      <c r="A394" s="39" t="s">
        <v>342</v>
      </c>
      <c r="B394" s="39" t="s">
        <v>90</v>
      </c>
      <c r="C394" s="39" t="s">
        <v>90</v>
      </c>
      <c r="E394" s="39" t="s">
        <v>84</v>
      </c>
      <c r="G394" s="39">
        <v>2</v>
      </c>
      <c r="K394" s="39" t="s">
        <v>85</v>
      </c>
      <c r="L394" s="144">
        <v>255</v>
      </c>
      <c r="P394" s="39" t="s">
        <v>4</v>
      </c>
      <c r="Q394" s="39" t="s">
        <v>91</v>
      </c>
      <c r="R394" s="39" t="s">
        <v>181</v>
      </c>
    </row>
    <row r="395" spans="1:18" x14ac:dyDescent="0.25">
      <c r="A395" s="39" t="s">
        <v>342</v>
      </c>
      <c r="B395" s="39" t="s">
        <v>92</v>
      </c>
      <c r="C395" s="39" t="s">
        <v>92</v>
      </c>
      <c r="E395" s="39" t="s">
        <v>84</v>
      </c>
      <c r="G395" s="39">
        <v>2</v>
      </c>
      <c r="K395" s="39" t="s">
        <v>93</v>
      </c>
      <c r="P395" s="39" t="s">
        <v>4</v>
      </c>
      <c r="Q395" s="39" t="s">
        <v>94</v>
      </c>
      <c r="R395" s="39" t="s">
        <v>181</v>
      </c>
    </row>
    <row r="396" spans="1:18" x14ac:dyDescent="0.25">
      <c r="A396" s="39" t="s">
        <v>342</v>
      </c>
      <c r="B396" s="39" t="s">
        <v>95</v>
      </c>
      <c r="C396" s="39" t="s">
        <v>95</v>
      </c>
      <c r="E396" s="39" t="s">
        <v>84</v>
      </c>
      <c r="G396" s="39">
        <v>2</v>
      </c>
      <c r="K396" s="39" t="s">
        <v>85</v>
      </c>
      <c r="L396" s="144">
        <v>255</v>
      </c>
      <c r="P396" s="39" t="s">
        <v>4</v>
      </c>
      <c r="Q396" s="39" t="s">
        <v>91</v>
      </c>
      <c r="R396" s="39" t="s">
        <v>181</v>
      </c>
    </row>
    <row r="397" spans="1:18" s="145" customFormat="1" x14ac:dyDescent="0.25">
      <c r="A397" s="145" t="s">
        <v>345</v>
      </c>
      <c r="B397" s="145" t="s">
        <v>346</v>
      </c>
      <c r="C397" s="145" t="s">
        <v>346</v>
      </c>
      <c r="D397" s="145" t="s">
        <v>178</v>
      </c>
      <c r="G397" s="145" t="s">
        <v>179</v>
      </c>
      <c r="H397" s="146"/>
      <c r="K397" s="145" t="s">
        <v>107</v>
      </c>
      <c r="L397" s="146"/>
      <c r="N397" s="146" t="s">
        <v>180</v>
      </c>
      <c r="O397" s="146"/>
      <c r="P397" s="145" t="s">
        <v>4</v>
      </c>
      <c r="R397" s="145" t="s">
        <v>181</v>
      </c>
    </row>
    <row r="398" spans="1:18" x14ac:dyDescent="0.25">
      <c r="A398" s="39" t="s">
        <v>345</v>
      </c>
      <c r="B398" s="39" t="s">
        <v>105</v>
      </c>
      <c r="C398" s="39" t="s">
        <v>105</v>
      </c>
      <c r="D398" s="39" t="s">
        <v>182</v>
      </c>
      <c r="G398" s="39" t="s">
        <v>179</v>
      </c>
      <c r="K398" s="39" t="s">
        <v>85</v>
      </c>
      <c r="L398" s="144">
        <v>255</v>
      </c>
      <c r="P398" s="39" t="s">
        <v>4</v>
      </c>
    </row>
    <row r="399" spans="1:18" x14ac:dyDescent="0.25">
      <c r="A399" s="39" t="s">
        <v>345</v>
      </c>
      <c r="B399" s="39" t="s">
        <v>347</v>
      </c>
      <c r="C399" s="39" t="s">
        <v>347</v>
      </c>
      <c r="K399" s="39" t="s">
        <v>85</v>
      </c>
      <c r="L399" s="144">
        <v>255</v>
      </c>
    </row>
    <row r="400" spans="1:18" x14ac:dyDescent="0.25">
      <c r="A400" s="39" t="s">
        <v>345</v>
      </c>
      <c r="B400" s="39" t="s">
        <v>87</v>
      </c>
      <c r="C400" s="39" t="s">
        <v>87</v>
      </c>
      <c r="E400" s="39" t="s">
        <v>84</v>
      </c>
      <c r="G400" s="39">
        <v>2</v>
      </c>
      <c r="K400" s="39" t="s">
        <v>88</v>
      </c>
      <c r="P400" s="39" t="s">
        <v>4</v>
      </c>
    </row>
    <row r="401" spans="1:18" x14ac:dyDescent="0.25">
      <c r="A401" s="39" t="s">
        <v>345</v>
      </c>
      <c r="B401" s="39" t="s">
        <v>89</v>
      </c>
      <c r="C401" s="39" t="s">
        <v>89</v>
      </c>
      <c r="E401" s="39" t="s">
        <v>84</v>
      </c>
      <c r="G401" s="39">
        <v>2</v>
      </c>
      <c r="K401" s="39" t="s">
        <v>88</v>
      </c>
      <c r="P401" s="39" t="s">
        <v>4</v>
      </c>
      <c r="R401" s="39" t="s">
        <v>181</v>
      </c>
    </row>
    <row r="402" spans="1:18" x14ac:dyDescent="0.25">
      <c r="A402" s="39" t="s">
        <v>345</v>
      </c>
      <c r="B402" s="39" t="s">
        <v>90</v>
      </c>
      <c r="C402" s="39" t="s">
        <v>90</v>
      </c>
      <c r="E402" s="39" t="s">
        <v>84</v>
      </c>
      <c r="G402" s="39">
        <v>2</v>
      </c>
      <c r="K402" s="39" t="s">
        <v>85</v>
      </c>
      <c r="L402" s="144">
        <v>255</v>
      </c>
      <c r="P402" s="39" t="s">
        <v>4</v>
      </c>
      <c r="Q402" s="39" t="s">
        <v>91</v>
      </c>
      <c r="R402" s="39" t="s">
        <v>181</v>
      </c>
    </row>
    <row r="403" spans="1:18" x14ac:dyDescent="0.25">
      <c r="A403" s="39" t="s">
        <v>345</v>
      </c>
      <c r="B403" s="39" t="s">
        <v>92</v>
      </c>
      <c r="C403" s="39" t="s">
        <v>92</v>
      </c>
      <c r="E403" s="39" t="s">
        <v>84</v>
      </c>
      <c r="G403" s="39">
        <v>2</v>
      </c>
      <c r="K403" s="39" t="s">
        <v>93</v>
      </c>
      <c r="P403" s="39" t="s">
        <v>4</v>
      </c>
      <c r="Q403" s="39" t="s">
        <v>94</v>
      </c>
      <c r="R403" s="39" t="s">
        <v>181</v>
      </c>
    </row>
    <row r="404" spans="1:18" x14ac:dyDescent="0.25">
      <c r="A404" s="39" t="s">
        <v>345</v>
      </c>
      <c r="B404" s="39" t="s">
        <v>95</v>
      </c>
      <c r="C404" s="39" t="s">
        <v>95</v>
      </c>
      <c r="E404" s="39" t="s">
        <v>84</v>
      </c>
      <c r="G404" s="39">
        <v>2</v>
      </c>
      <c r="K404" s="39" t="s">
        <v>85</v>
      </c>
      <c r="L404" s="144">
        <v>255</v>
      </c>
      <c r="P404" s="39" t="s">
        <v>4</v>
      </c>
      <c r="Q404" s="39" t="s">
        <v>91</v>
      </c>
      <c r="R404" s="39" t="s">
        <v>181</v>
      </c>
    </row>
    <row r="405" spans="1:18" s="145" customFormat="1" x14ac:dyDescent="0.25">
      <c r="A405" s="145" t="s">
        <v>220</v>
      </c>
      <c r="B405" s="145" t="s">
        <v>219</v>
      </c>
      <c r="C405" s="145" t="s">
        <v>219</v>
      </c>
      <c r="D405" s="145" t="s">
        <v>178</v>
      </c>
      <c r="G405" s="145" t="s">
        <v>179</v>
      </c>
      <c r="H405" s="146"/>
      <c r="K405" s="145" t="s">
        <v>107</v>
      </c>
      <c r="L405" s="146"/>
      <c r="N405" s="146" t="s">
        <v>180</v>
      </c>
      <c r="O405" s="146"/>
      <c r="P405" s="145" t="s">
        <v>4</v>
      </c>
      <c r="R405" s="145" t="s">
        <v>181</v>
      </c>
    </row>
    <row r="406" spans="1:18" x14ac:dyDescent="0.25">
      <c r="A406" s="39" t="s">
        <v>220</v>
      </c>
      <c r="B406" s="39" t="s">
        <v>105</v>
      </c>
      <c r="C406" s="39" t="s">
        <v>105</v>
      </c>
      <c r="D406" s="39" t="s">
        <v>182</v>
      </c>
      <c r="G406" s="39" t="s">
        <v>179</v>
      </c>
      <c r="K406" s="39" t="s">
        <v>85</v>
      </c>
      <c r="L406" s="144">
        <v>255</v>
      </c>
      <c r="P406" s="39" t="s">
        <v>4</v>
      </c>
    </row>
    <row r="407" spans="1:18" x14ac:dyDescent="0.25">
      <c r="A407" s="39" t="s">
        <v>220</v>
      </c>
      <c r="B407" s="39" t="s">
        <v>348</v>
      </c>
      <c r="C407" s="39" t="s">
        <v>348</v>
      </c>
      <c r="K407" s="39" t="s">
        <v>85</v>
      </c>
      <c r="L407" s="144">
        <v>255</v>
      </c>
    </row>
    <row r="408" spans="1:18" x14ac:dyDescent="0.25">
      <c r="A408" s="39" t="s">
        <v>220</v>
      </c>
      <c r="B408" s="39" t="s">
        <v>21</v>
      </c>
      <c r="C408" s="39" t="s">
        <v>21</v>
      </c>
      <c r="K408" s="39" t="s">
        <v>85</v>
      </c>
      <c r="L408" s="144">
        <v>1000</v>
      </c>
    </row>
    <row r="409" spans="1:18" x14ac:dyDescent="0.25">
      <c r="A409" s="39" t="s">
        <v>220</v>
      </c>
      <c r="B409" s="39" t="s">
        <v>305</v>
      </c>
      <c r="C409" s="39" t="s">
        <v>305</v>
      </c>
      <c r="K409" s="39" t="s">
        <v>107</v>
      </c>
      <c r="N409" s="144" t="s">
        <v>108</v>
      </c>
      <c r="O409" s="144" t="s">
        <v>306</v>
      </c>
      <c r="P409" s="39" t="s">
        <v>4</v>
      </c>
    </row>
    <row r="410" spans="1:18" x14ac:dyDescent="0.25">
      <c r="A410" s="39" t="s">
        <v>220</v>
      </c>
      <c r="B410" s="39" t="s">
        <v>229</v>
      </c>
      <c r="C410" s="39" t="s">
        <v>229</v>
      </c>
      <c r="K410" s="39" t="s">
        <v>85</v>
      </c>
      <c r="L410" s="144">
        <v>30</v>
      </c>
    </row>
    <row r="411" spans="1:18" x14ac:dyDescent="0.25">
      <c r="A411" s="39" t="s">
        <v>220</v>
      </c>
      <c r="B411" s="39" t="s">
        <v>349</v>
      </c>
      <c r="C411" s="39" t="s">
        <v>349</v>
      </c>
      <c r="K411" s="39" t="s">
        <v>85</v>
      </c>
      <c r="L411" s="144">
        <v>30</v>
      </c>
    </row>
    <row r="412" spans="1:18" x14ac:dyDescent="0.25">
      <c r="A412" s="39" t="s">
        <v>220</v>
      </c>
      <c r="B412" s="39" t="s">
        <v>350</v>
      </c>
      <c r="C412" s="39" t="s">
        <v>350</v>
      </c>
      <c r="K412" s="39" t="s">
        <v>85</v>
      </c>
      <c r="L412" s="144">
        <v>30</v>
      </c>
    </row>
    <row r="413" spans="1:18" x14ac:dyDescent="0.25">
      <c r="A413" s="39" t="s">
        <v>220</v>
      </c>
      <c r="B413" s="39" t="s">
        <v>351</v>
      </c>
      <c r="C413" s="39" t="s">
        <v>351</v>
      </c>
      <c r="K413" s="39" t="s">
        <v>107</v>
      </c>
      <c r="N413" s="144" t="s">
        <v>108</v>
      </c>
      <c r="O413" s="144" t="s">
        <v>352</v>
      </c>
      <c r="P413" s="39" t="s">
        <v>4</v>
      </c>
    </row>
    <row r="414" spans="1:18" x14ac:dyDescent="0.25">
      <c r="A414" s="39" t="s">
        <v>220</v>
      </c>
      <c r="B414" s="39" t="s">
        <v>353</v>
      </c>
      <c r="C414" s="39" t="s">
        <v>353</v>
      </c>
      <c r="K414" s="39" t="s">
        <v>85</v>
      </c>
      <c r="L414" s="144">
        <v>50</v>
      </c>
    </row>
    <row r="415" spans="1:18" x14ac:dyDescent="0.25">
      <c r="A415" s="39" t="s">
        <v>220</v>
      </c>
      <c r="B415" s="39" t="s">
        <v>354</v>
      </c>
      <c r="C415" s="39" t="s">
        <v>354</v>
      </c>
      <c r="K415" s="39" t="s">
        <v>85</v>
      </c>
      <c r="L415" s="144">
        <v>100</v>
      </c>
    </row>
    <row r="416" spans="1:18" x14ac:dyDescent="0.25">
      <c r="A416" s="39" t="s">
        <v>220</v>
      </c>
      <c r="B416" s="39" t="s">
        <v>86</v>
      </c>
      <c r="C416" s="39" t="s">
        <v>86</v>
      </c>
      <c r="K416" s="39" t="s">
        <v>85</v>
      </c>
      <c r="L416" s="144">
        <v>10</v>
      </c>
    </row>
    <row r="417" spans="1:18" x14ac:dyDescent="0.25">
      <c r="A417" s="39" t="s">
        <v>220</v>
      </c>
      <c r="B417" s="39" t="s">
        <v>355</v>
      </c>
      <c r="C417" s="39" t="s">
        <v>355</v>
      </c>
      <c r="K417" s="39" t="s">
        <v>107</v>
      </c>
      <c r="N417" s="144" t="s">
        <v>108</v>
      </c>
      <c r="O417" s="144" t="s">
        <v>356</v>
      </c>
      <c r="P417" s="39" t="s">
        <v>4</v>
      </c>
    </row>
    <row r="418" spans="1:18" x14ac:dyDescent="0.25">
      <c r="A418" s="39" t="s">
        <v>220</v>
      </c>
      <c r="B418" s="39" t="s">
        <v>357</v>
      </c>
      <c r="C418" s="39" t="s">
        <v>357</v>
      </c>
      <c r="K418" s="39" t="s">
        <v>107</v>
      </c>
      <c r="N418" s="144" t="s">
        <v>108</v>
      </c>
      <c r="O418" s="144" t="s">
        <v>358</v>
      </c>
      <c r="P418" s="39" t="s">
        <v>4</v>
      </c>
    </row>
    <row r="419" spans="1:18" x14ac:dyDescent="0.25">
      <c r="A419" s="39" t="s">
        <v>220</v>
      </c>
      <c r="B419" s="39" t="s">
        <v>359</v>
      </c>
      <c r="C419" s="39" t="s">
        <v>359</v>
      </c>
      <c r="K419" s="39" t="s">
        <v>85</v>
      </c>
      <c r="L419" s="144">
        <v>100</v>
      </c>
    </row>
    <row r="420" spans="1:18" x14ac:dyDescent="0.25">
      <c r="A420" s="39" t="s">
        <v>220</v>
      </c>
      <c r="B420" s="39" t="s">
        <v>87</v>
      </c>
      <c r="C420" s="39" t="s">
        <v>87</v>
      </c>
      <c r="E420" s="39" t="s">
        <v>84</v>
      </c>
      <c r="G420" s="39">
        <v>2</v>
      </c>
      <c r="K420" s="39" t="s">
        <v>88</v>
      </c>
      <c r="P420" s="39" t="s">
        <v>4</v>
      </c>
    </row>
    <row r="421" spans="1:18" x14ac:dyDescent="0.25">
      <c r="A421" s="39" t="s">
        <v>220</v>
      </c>
      <c r="B421" s="39" t="s">
        <v>89</v>
      </c>
      <c r="C421" s="39" t="s">
        <v>89</v>
      </c>
      <c r="E421" s="39" t="s">
        <v>84</v>
      </c>
      <c r="G421" s="39">
        <v>2</v>
      </c>
      <c r="K421" s="39" t="s">
        <v>88</v>
      </c>
      <c r="P421" s="39" t="s">
        <v>4</v>
      </c>
      <c r="R421" s="39" t="s">
        <v>181</v>
      </c>
    </row>
    <row r="422" spans="1:18" x14ac:dyDescent="0.25">
      <c r="A422" s="39" t="s">
        <v>220</v>
      </c>
      <c r="B422" s="39" t="s">
        <v>90</v>
      </c>
      <c r="C422" s="39" t="s">
        <v>90</v>
      </c>
      <c r="E422" s="39" t="s">
        <v>84</v>
      </c>
      <c r="G422" s="39">
        <v>2</v>
      </c>
      <c r="K422" s="39" t="s">
        <v>85</v>
      </c>
      <c r="L422" s="144">
        <v>255</v>
      </c>
      <c r="P422" s="39" t="s">
        <v>4</v>
      </c>
      <c r="Q422" s="39" t="s">
        <v>91</v>
      </c>
      <c r="R422" s="39" t="s">
        <v>181</v>
      </c>
    </row>
    <row r="423" spans="1:18" x14ac:dyDescent="0.25">
      <c r="A423" s="39" t="s">
        <v>220</v>
      </c>
      <c r="B423" s="39" t="s">
        <v>92</v>
      </c>
      <c r="C423" s="39" t="s">
        <v>92</v>
      </c>
      <c r="E423" s="39" t="s">
        <v>84</v>
      </c>
      <c r="G423" s="39">
        <v>2</v>
      </c>
      <c r="K423" s="39" t="s">
        <v>93</v>
      </c>
      <c r="P423" s="39" t="s">
        <v>4</v>
      </c>
      <c r="Q423" s="39" t="s">
        <v>94</v>
      </c>
      <c r="R423" s="39" t="s">
        <v>181</v>
      </c>
    </row>
    <row r="424" spans="1:18" x14ac:dyDescent="0.25">
      <c r="A424" s="39" t="s">
        <v>220</v>
      </c>
      <c r="B424" s="39" t="s">
        <v>95</v>
      </c>
      <c r="C424" s="39" t="s">
        <v>95</v>
      </c>
      <c r="E424" s="39" t="s">
        <v>84</v>
      </c>
      <c r="G424" s="39">
        <v>2</v>
      </c>
      <c r="K424" s="39" t="s">
        <v>85</v>
      </c>
      <c r="L424" s="144">
        <v>255</v>
      </c>
      <c r="P424" s="39" t="s">
        <v>4</v>
      </c>
      <c r="Q424" s="39" t="s">
        <v>91</v>
      </c>
      <c r="R424" s="39" t="s">
        <v>181</v>
      </c>
    </row>
    <row r="425" spans="1:18" s="145" customFormat="1" x14ac:dyDescent="0.25">
      <c r="A425" s="145" t="s">
        <v>352</v>
      </c>
      <c r="B425" s="145" t="s">
        <v>351</v>
      </c>
      <c r="C425" s="145" t="s">
        <v>351</v>
      </c>
      <c r="D425" s="145" t="s">
        <v>178</v>
      </c>
      <c r="G425" s="145" t="s">
        <v>179</v>
      </c>
      <c r="H425" s="146"/>
      <c r="K425" s="145" t="s">
        <v>107</v>
      </c>
      <c r="L425" s="146"/>
      <c r="N425" s="146" t="s">
        <v>180</v>
      </c>
      <c r="O425" s="146"/>
      <c r="P425" s="145" t="s">
        <v>4</v>
      </c>
      <c r="R425" s="145" t="s">
        <v>181</v>
      </c>
    </row>
    <row r="426" spans="1:18" x14ac:dyDescent="0.25">
      <c r="A426" s="39" t="s">
        <v>352</v>
      </c>
      <c r="B426" s="39" t="s">
        <v>105</v>
      </c>
      <c r="C426" s="39" t="s">
        <v>105</v>
      </c>
      <c r="D426" s="39" t="s">
        <v>182</v>
      </c>
      <c r="G426" s="39" t="s">
        <v>179</v>
      </c>
      <c r="K426" s="39" t="s">
        <v>85</v>
      </c>
      <c r="L426" s="144">
        <v>255</v>
      </c>
      <c r="P426" s="39" t="s">
        <v>4</v>
      </c>
    </row>
    <row r="427" spans="1:18" x14ac:dyDescent="0.25">
      <c r="A427" s="39" t="s">
        <v>352</v>
      </c>
      <c r="B427" s="39" t="s">
        <v>360</v>
      </c>
      <c r="C427" s="39" t="s">
        <v>360</v>
      </c>
      <c r="K427" s="39" t="s">
        <v>85</v>
      </c>
      <c r="L427" s="144">
        <v>255</v>
      </c>
    </row>
    <row r="428" spans="1:18" x14ac:dyDescent="0.25">
      <c r="A428" s="39" t="s">
        <v>352</v>
      </c>
      <c r="B428" s="39" t="s">
        <v>87</v>
      </c>
      <c r="C428" s="39" t="s">
        <v>87</v>
      </c>
      <c r="E428" s="39" t="s">
        <v>84</v>
      </c>
      <c r="G428" s="39">
        <v>2</v>
      </c>
      <c r="K428" s="39" t="s">
        <v>88</v>
      </c>
      <c r="P428" s="39" t="s">
        <v>4</v>
      </c>
    </row>
    <row r="429" spans="1:18" x14ac:dyDescent="0.25">
      <c r="A429" s="39" t="s">
        <v>352</v>
      </c>
      <c r="B429" s="39" t="s">
        <v>89</v>
      </c>
      <c r="C429" s="39" t="s">
        <v>89</v>
      </c>
      <c r="E429" s="39" t="s">
        <v>84</v>
      </c>
      <c r="G429" s="39">
        <v>2</v>
      </c>
      <c r="K429" s="39" t="s">
        <v>88</v>
      </c>
      <c r="P429" s="39" t="s">
        <v>4</v>
      </c>
      <c r="R429" s="39" t="s">
        <v>181</v>
      </c>
    </row>
    <row r="430" spans="1:18" x14ac:dyDescent="0.25">
      <c r="A430" s="39" t="s">
        <v>352</v>
      </c>
      <c r="B430" s="39" t="s">
        <v>90</v>
      </c>
      <c r="C430" s="39" t="s">
        <v>90</v>
      </c>
      <c r="E430" s="39" t="s">
        <v>84</v>
      </c>
      <c r="G430" s="39">
        <v>2</v>
      </c>
      <c r="K430" s="39" t="s">
        <v>85</v>
      </c>
      <c r="L430" s="144">
        <v>255</v>
      </c>
      <c r="P430" s="39" t="s">
        <v>4</v>
      </c>
      <c r="Q430" s="39" t="s">
        <v>91</v>
      </c>
      <c r="R430" s="39" t="s">
        <v>181</v>
      </c>
    </row>
    <row r="431" spans="1:18" x14ac:dyDescent="0.25">
      <c r="A431" s="39" t="s">
        <v>352</v>
      </c>
      <c r="B431" s="39" t="s">
        <v>92</v>
      </c>
      <c r="C431" s="39" t="s">
        <v>92</v>
      </c>
      <c r="E431" s="39" t="s">
        <v>84</v>
      </c>
      <c r="G431" s="39">
        <v>2</v>
      </c>
      <c r="K431" s="39" t="s">
        <v>93</v>
      </c>
      <c r="P431" s="39" t="s">
        <v>4</v>
      </c>
      <c r="Q431" s="39" t="s">
        <v>94</v>
      </c>
      <c r="R431" s="39" t="s">
        <v>181</v>
      </c>
    </row>
    <row r="432" spans="1:18" x14ac:dyDescent="0.25">
      <c r="A432" s="39" t="s">
        <v>352</v>
      </c>
      <c r="B432" s="39" t="s">
        <v>95</v>
      </c>
      <c r="C432" s="39" t="s">
        <v>95</v>
      </c>
      <c r="E432" s="39" t="s">
        <v>84</v>
      </c>
      <c r="G432" s="39">
        <v>2</v>
      </c>
      <c r="K432" s="39" t="s">
        <v>85</v>
      </c>
      <c r="L432" s="144">
        <v>255</v>
      </c>
      <c r="P432" s="39" t="s">
        <v>4</v>
      </c>
      <c r="Q432" s="39" t="s">
        <v>91</v>
      </c>
      <c r="R432" s="39" t="s">
        <v>181</v>
      </c>
    </row>
    <row r="433" spans="1:18" s="145" customFormat="1" x14ac:dyDescent="0.25">
      <c r="A433" s="145" t="s">
        <v>361</v>
      </c>
      <c r="B433" s="145" t="s">
        <v>362</v>
      </c>
      <c r="C433" s="145" t="s">
        <v>362</v>
      </c>
      <c r="D433" s="145" t="s">
        <v>178</v>
      </c>
      <c r="G433" s="145" t="s">
        <v>179</v>
      </c>
      <c r="H433" s="146"/>
      <c r="K433" s="145" t="s">
        <v>107</v>
      </c>
      <c r="L433" s="146"/>
      <c r="N433" s="146" t="s">
        <v>180</v>
      </c>
      <c r="O433" s="146"/>
      <c r="P433" s="145" t="s">
        <v>4</v>
      </c>
      <c r="R433" s="145" t="s">
        <v>181</v>
      </c>
    </row>
    <row r="434" spans="1:18" x14ac:dyDescent="0.25">
      <c r="A434" s="39" t="s">
        <v>361</v>
      </c>
      <c r="B434" s="39" t="s">
        <v>105</v>
      </c>
      <c r="C434" s="39" t="s">
        <v>105</v>
      </c>
      <c r="D434" s="39" t="s">
        <v>182</v>
      </c>
      <c r="G434" s="39" t="s">
        <v>179</v>
      </c>
      <c r="K434" s="39" t="s">
        <v>85</v>
      </c>
      <c r="L434" s="144">
        <v>255</v>
      </c>
      <c r="P434" s="39" t="s">
        <v>4</v>
      </c>
    </row>
    <row r="435" spans="1:18" x14ac:dyDescent="0.25">
      <c r="A435" s="39" t="s">
        <v>361</v>
      </c>
      <c r="B435" s="39" t="s">
        <v>219</v>
      </c>
      <c r="C435" s="39" t="s">
        <v>219</v>
      </c>
      <c r="K435" s="39" t="s">
        <v>107</v>
      </c>
      <c r="N435" s="144" t="s">
        <v>108</v>
      </c>
      <c r="O435" s="144" t="s">
        <v>220</v>
      </c>
      <c r="P435" s="39" t="s">
        <v>4</v>
      </c>
    </row>
    <row r="436" spans="1:18" x14ac:dyDescent="0.25">
      <c r="A436" s="39" t="s">
        <v>361</v>
      </c>
      <c r="B436" s="39" t="s">
        <v>346</v>
      </c>
      <c r="C436" s="39" t="s">
        <v>346</v>
      </c>
      <c r="K436" s="39" t="s">
        <v>107</v>
      </c>
      <c r="N436" s="144" t="s">
        <v>108</v>
      </c>
      <c r="O436" s="144" t="s">
        <v>345</v>
      </c>
      <c r="P436" s="39" t="s">
        <v>4</v>
      </c>
    </row>
    <row r="437" spans="1:18" x14ac:dyDescent="0.25">
      <c r="A437" s="39" t="s">
        <v>361</v>
      </c>
      <c r="B437" s="39" t="s">
        <v>363</v>
      </c>
      <c r="C437" s="39" t="s">
        <v>363</v>
      </c>
      <c r="K437" s="39" t="s">
        <v>85</v>
      </c>
      <c r="L437" s="144">
        <v>255</v>
      </c>
    </row>
    <row r="438" spans="1:18" x14ac:dyDescent="0.25">
      <c r="A438" s="39" t="s">
        <v>361</v>
      </c>
      <c r="B438" s="39" t="s">
        <v>364</v>
      </c>
      <c r="K438" s="39" t="s">
        <v>85</v>
      </c>
      <c r="L438" s="144">
        <v>20</v>
      </c>
    </row>
    <row r="439" spans="1:18" x14ac:dyDescent="0.25">
      <c r="A439" s="39" t="s">
        <v>361</v>
      </c>
      <c r="B439" s="39" t="s">
        <v>87</v>
      </c>
      <c r="C439" s="39" t="s">
        <v>87</v>
      </c>
      <c r="E439" s="39" t="s">
        <v>84</v>
      </c>
      <c r="G439" s="39">
        <v>2</v>
      </c>
      <c r="K439" s="39" t="s">
        <v>88</v>
      </c>
      <c r="P439" s="39" t="s">
        <v>4</v>
      </c>
    </row>
    <row r="440" spans="1:18" x14ac:dyDescent="0.25">
      <c r="A440" s="39" t="s">
        <v>361</v>
      </c>
      <c r="B440" s="39" t="s">
        <v>89</v>
      </c>
      <c r="C440" s="39" t="s">
        <v>89</v>
      </c>
      <c r="E440" s="39" t="s">
        <v>84</v>
      </c>
      <c r="G440" s="39">
        <v>2</v>
      </c>
      <c r="K440" s="39" t="s">
        <v>88</v>
      </c>
      <c r="P440" s="39" t="s">
        <v>4</v>
      </c>
      <c r="R440" s="39" t="s">
        <v>181</v>
      </c>
    </row>
    <row r="441" spans="1:18" x14ac:dyDescent="0.25">
      <c r="A441" s="39" t="s">
        <v>361</v>
      </c>
      <c r="B441" s="39" t="s">
        <v>90</v>
      </c>
      <c r="C441" s="39" t="s">
        <v>90</v>
      </c>
      <c r="E441" s="39" t="s">
        <v>84</v>
      </c>
      <c r="G441" s="39">
        <v>2</v>
      </c>
      <c r="K441" s="39" t="s">
        <v>85</v>
      </c>
      <c r="L441" s="144">
        <v>255</v>
      </c>
      <c r="P441" s="39" t="s">
        <v>4</v>
      </c>
      <c r="Q441" s="39" t="s">
        <v>91</v>
      </c>
      <c r="R441" s="39" t="s">
        <v>181</v>
      </c>
    </row>
    <row r="442" spans="1:18" x14ac:dyDescent="0.25">
      <c r="A442" s="39" t="s">
        <v>361</v>
      </c>
      <c r="B442" s="39" t="s">
        <v>92</v>
      </c>
      <c r="C442" s="39" t="s">
        <v>92</v>
      </c>
      <c r="E442" s="39" t="s">
        <v>84</v>
      </c>
      <c r="G442" s="39">
        <v>2</v>
      </c>
      <c r="K442" s="39" t="s">
        <v>93</v>
      </c>
      <c r="P442" s="39" t="s">
        <v>4</v>
      </c>
      <c r="Q442" s="39" t="s">
        <v>94</v>
      </c>
      <c r="R442" s="39" t="s">
        <v>181</v>
      </c>
    </row>
    <row r="443" spans="1:18" x14ac:dyDescent="0.25">
      <c r="A443" s="39" t="s">
        <v>361</v>
      </c>
      <c r="B443" s="39" t="s">
        <v>95</v>
      </c>
      <c r="C443" s="39" t="s">
        <v>95</v>
      </c>
      <c r="E443" s="39" t="s">
        <v>84</v>
      </c>
      <c r="G443" s="39">
        <v>2</v>
      </c>
      <c r="K443" s="39" t="s">
        <v>85</v>
      </c>
      <c r="L443" s="144">
        <v>255</v>
      </c>
      <c r="P443" s="39" t="s">
        <v>4</v>
      </c>
      <c r="Q443" s="39" t="s">
        <v>91</v>
      </c>
      <c r="R443" s="39" t="s">
        <v>181</v>
      </c>
    </row>
    <row r="444" spans="1:18" s="145" customFormat="1" x14ac:dyDescent="0.25">
      <c r="A444" s="145" t="s">
        <v>365</v>
      </c>
      <c r="B444" s="145" t="s">
        <v>366</v>
      </c>
      <c r="C444" s="145" t="s">
        <v>366</v>
      </c>
      <c r="D444" s="145" t="s">
        <v>178</v>
      </c>
      <c r="G444" s="145" t="s">
        <v>179</v>
      </c>
      <c r="H444" s="146"/>
      <c r="K444" s="145" t="s">
        <v>107</v>
      </c>
      <c r="L444" s="146"/>
      <c r="N444" s="146" t="s">
        <v>180</v>
      </c>
      <c r="O444" s="146"/>
      <c r="P444" s="145" t="s">
        <v>4</v>
      </c>
      <c r="R444" s="145" t="s">
        <v>181</v>
      </c>
    </row>
    <row r="445" spans="1:18" x14ac:dyDescent="0.25">
      <c r="A445" s="39" t="s">
        <v>365</v>
      </c>
      <c r="B445" s="39" t="s">
        <v>105</v>
      </c>
      <c r="C445" s="39" t="s">
        <v>105</v>
      </c>
      <c r="D445" s="39" t="s">
        <v>182</v>
      </c>
      <c r="G445" s="39" t="s">
        <v>179</v>
      </c>
      <c r="K445" s="39" t="s">
        <v>85</v>
      </c>
      <c r="L445" s="144">
        <v>255</v>
      </c>
      <c r="P445" s="39" t="s">
        <v>4</v>
      </c>
    </row>
    <row r="446" spans="1:18" x14ac:dyDescent="0.25">
      <c r="A446" s="39" t="s">
        <v>365</v>
      </c>
      <c r="B446" s="39" t="s">
        <v>362</v>
      </c>
      <c r="C446" s="39" t="s">
        <v>362</v>
      </c>
      <c r="K446" s="39" t="s">
        <v>107</v>
      </c>
      <c r="N446" s="144" t="s">
        <v>108</v>
      </c>
      <c r="O446" s="144" t="s">
        <v>361</v>
      </c>
      <c r="P446" s="39" t="s">
        <v>4</v>
      </c>
    </row>
    <row r="447" spans="1:18" x14ac:dyDescent="0.25">
      <c r="A447" s="39" t="s">
        <v>365</v>
      </c>
      <c r="B447" s="39" t="s">
        <v>219</v>
      </c>
      <c r="C447" s="39" t="s">
        <v>219</v>
      </c>
      <c r="K447" s="39" t="s">
        <v>107</v>
      </c>
      <c r="N447" s="144" t="s">
        <v>108</v>
      </c>
      <c r="O447" s="144" t="s">
        <v>220</v>
      </c>
      <c r="P447" s="39" t="s">
        <v>4</v>
      </c>
    </row>
    <row r="448" spans="1:18" x14ac:dyDescent="0.25">
      <c r="A448" s="39" t="s">
        <v>365</v>
      </c>
      <c r="B448" s="39" t="s">
        <v>346</v>
      </c>
      <c r="C448" s="39" t="s">
        <v>346</v>
      </c>
      <c r="K448" s="39" t="s">
        <v>107</v>
      </c>
      <c r="N448" s="144" t="s">
        <v>108</v>
      </c>
      <c r="O448" s="144" t="s">
        <v>345</v>
      </c>
      <c r="P448" s="39" t="s">
        <v>4</v>
      </c>
    </row>
    <row r="449" spans="1:18" x14ac:dyDescent="0.25">
      <c r="A449" s="39" t="s">
        <v>365</v>
      </c>
      <c r="B449" s="39" t="s">
        <v>363</v>
      </c>
      <c r="C449" s="39" t="s">
        <v>363</v>
      </c>
      <c r="K449" s="39" t="s">
        <v>85</v>
      </c>
      <c r="L449" s="144">
        <v>255</v>
      </c>
    </row>
    <row r="450" spans="1:18" x14ac:dyDescent="0.25">
      <c r="A450" s="39" t="s">
        <v>365</v>
      </c>
      <c r="B450" s="39" t="s">
        <v>364</v>
      </c>
      <c r="K450" s="39" t="s">
        <v>85</v>
      </c>
      <c r="L450" s="144">
        <v>20</v>
      </c>
    </row>
    <row r="451" spans="1:18" x14ac:dyDescent="0.25">
      <c r="A451" s="39" t="s">
        <v>365</v>
      </c>
      <c r="B451" s="39" t="s">
        <v>87</v>
      </c>
      <c r="C451" s="39" t="s">
        <v>87</v>
      </c>
      <c r="E451" s="39" t="s">
        <v>84</v>
      </c>
      <c r="G451" s="39">
        <v>2</v>
      </c>
      <c r="K451" s="39" t="s">
        <v>88</v>
      </c>
      <c r="P451" s="39" t="s">
        <v>4</v>
      </c>
    </row>
    <row r="452" spans="1:18" x14ac:dyDescent="0.25">
      <c r="A452" s="39" t="s">
        <v>365</v>
      </c>
      <c r="B452" s="39" t="s">
        <v>89</v>
      </c>
      <c r="C452" s="39" t="s">
        <v>89</v>
      </c>
      <c r="E452" s="39" t="s">
        <v>84</v>
      </c>
      <c r="G452" s="39">
        <v>2</v>
      </c>
      <c r="K452" s="39" t="s">
        <v>88</v>
      </c>
      <c r="P452" s="39" t="s">
        <v>4</v>
      </c>
      <c r="R452" s="39" t="s">
        <v>181</v>
      </c>
    </row>
    <row r="453" spans="1:18" x14ac:dyDescent="0.25">
      <c r="A453" s="39" t="s">
        <v>365</v>
      </c>
      <c r="B453" s="39" t="s">
        <v>90</v>
      </c>
      <c r="C453" s="39" t="s">
        <v>90</v>
      </c>
      <c r="E453" s="39" t="s">
        <v>84</v>
      </c>
      <c r="G453" s="39">
        <v>2</v>
      </c>
      <c r="K453" s="39" t="s">
        <v>85</v>
      </c>
      <c r="L453" s="144">
        <v>255</v>
      </c>
      <c r="P453" s="39" t="s">
        <v>4</v>
      </c>
      <c r="Q453" s="39" t="s">
        <v>91</v>
      </c>
      <c r="R453" s="39" t="s">
        <v>181</v>
      </c>
    </row>
    <row r="454" spans="1:18" x14ac:dyDescent="0.25">
      <c r="A454" s="39" t="s">
        <v>365</v>
      </c>
      <c r="B454" s="39" t="s">
        <v>92</v>
      </c>
      <c r="C454" s="39" t="s">
        <v>92</v>
      </c>
      <c r="E454" s="39" t="s">
        <v>84</v>
      </c>
      <c r="G454" s="39">
        <v>2</v>
      </c>
      <c r="K454" s="39" t="s">
        <v>93</v>
      </c>
      <c r="P454" s="39" t="s">
        <v>4</v>
      </c>
      <c r="Q454" s="39" t="s">
        <v>94</v>
      </c>
      <c r="R454" s="39" t="s">
        <v>181</v>
      </c>
    </row>
    <row r="455" spans="1:18" x14ac:dyDescent="0.25">
      <c r="A455" s="39" t="s">
        <v>365</v>
      </c>
      <c r="B455" s="39" t="s">
        <v>95</v>
      </c>
      <c r="C455" s="39" t="s">
        <v>95</v>
      </c>
      <c r="E455" s="39" t="s">
        <v>84</v>
      </c>
      <c r="G455" s="39">
        <v>2</v>
      </c>
      <c r="K455" s="39" t="s">
        <v>85</v>
      </c>
      <c r="L455" s="144">
        <v>255</v>
      </c>
      <c r="P455" s="39" t="s">
        <v>4</v>
      </c>
      <c r="Q455" s="39" t="s">
        <v>91</v>
      </c>
      <c r="R455" s="39" t="s">
        <v>181</v>
      </c>
    </row>
    <row r="456" spans="1:18" s="145" customFormat="1" x14ac:dyDescent="0.25">
      <c r="A456" s="145" t="s">
        <v>367</v>
      </c>
      <c r="B456" s="145" t="s">
        <v>368</v>
      </c>
      <c r="C456" s="145" t="s">
        <v>368</v>
      </c>
      <c r="D456" s="145" t="s">
        <v>178</v>
      </c>
      <c r="G456" s="145" t="s">
        <v>179</v>
      </c>
      <c r="H456" s="146"/>
      <c r="K456" s="145" t="s">
        <v>107</v>
      </c>
      <c r="L456" s="146"/>
      <c r="N456" s="146" t="s">
        <v>180</v>
      </c>
      <c r="O456" s="146"/>
      <c r="P456" s="145" t="s">
        <v>4</v>
      </c>
      <c r="R456" s="145" t="s">
        <v>181</v>
      </c>
    </row>
    <row r="457" spans="1:18" x14ac:dyDescent="0.25">
      <c r="A457" s="39" t="s">
        <v>367</v>
      </c>
      <c r="B457" s="39" t="s">
        <v>105</v>
      </c>
      <c r="C457" s="39" t="s">
        <v>105</v>
      </c>
      <c r="D457" s="39" t="s">
        <v>182</v>
      </c>
      <c r="G457" s="39" t="s">
        <v>179</v>
      </c>
      <c r="K457" s="39" t="s">
        <v>85</v>
      </c>
      <c r="L457" s="144">
        <v>255</v>
      </c>
      <c r="P457" s="39" t="s">
        <v>4</v>
      </c>
    </row>
    <row r="458" spans="1:18" x14ac:dyDescent="0.25">
      <c r="A458" s="39" t="s">
        <v>367</v>
      </c>
      <c r="B458" s="39" t="s">
        <v>366</v>
      </c>
      <c r="C458" s="39" t="s">
        <v>366</v>
      </c>
      <c r="K458" s="39" t="s">
        <v>107</v>
      </c>
      <c r="N458" s="144" t="s">
        <v>108</v>
      </c>
      <c r="O458" s="144" t="s">
        <v>365</v>
      </c>
      <c r="P458" s="39" t="s">
        <v>4</v>
      </c>
    </row>
    <row r="459" spans="1:18" x14ac:dyDescent="0.25">
      <c r="A459" s="39" t="s">
        <v>367</v>
      </c>
      <c r="B459" s="39" t="s">
        <v>219</v>
      </c>
      <c r="C459" s="39" t="s">
        <v>219</v>
      </c>
      <c r="K459" s="39" t="s">
        <v>107</v>
      </c>
      <c r="N459" s="144" t="s">
        <v>108</v>
      </c>
      <c r="O459" s="144" t="s">
        <v>220</v>
      </c>
      <c r="P459" s="39" t="s">
        <v>4</v>
      </c>
    </row>
    <row r="460" spans="1:18" x14ac:dyDescent="0.25">
      <c r="A460" s="39" t="s">
        <v>367</v>
      </c>
      <c r="B460" s="39" t="s">
        <v>346</v>
      </c>
      <c r="C460" s="39" t="s">
        <v>346</v>
      </c>
      <c r="K460" s="39" t="s">
        <v>107</v>
      </c>
      <c r="N460" s="144" t="s">
        <v>108</v>
      </c>
      <c r="O460" s="144" t="s">
        <v>345</v>
      </c>
      <c r="P460" s="39" t="s">
        <v>4</v>
      </c>
    </row>
    <row r="461" spans="1:18" x14ac:dyDescent="0.25">
      <c r="A461" s="39" t="s">
        <v>367</v>
      </c>
      <c r="B461" s="39" t="s">
        <v>363</v>
      </c>
      <c r="C461" s="39" t="s">
        <v>363</v>
      </c>
      <c r="K461" s="39" t="s">
        <v>85</v>
      </c>
      <c r="L461" s="144">
        <v>255</v>
      </c>
    </row>
    <row r="462" spans="1:18" x14ac:dyDescent="0.25">
      <c r="A462" s="39" t="s">
        <v>367</v>
      </c>
      <c r="B462" s="39" t="s">
        <v>364</v>
      </c>
      <c r="K462" s="39" t="s">
        <v>85</v>
      </c>
      <c r="L462" s="144">
        <v>20</v>
      </c>
    </row>
    <row r="463" spans="1:18" x14ac:dyDescent="0.25">
      <c r="A463" s="39" t="s">
        <v>367</v>
      </c>
      <c r="B463" s="39" t="s">
        <v>87</v>
      </c>
      <c r="C463" s="39" t="s">
        <v>87</v>
      </c>
      <c r="E463" s="39" t="s">
        <v>84</v>
      </c>
      <c r="G463" s="39">
        <v>2</v>
      </c>
      <c r="K463" s="39" t="s">
        <v>88</v>
      </c>
      <c r="P463" s="39" t="s">
        <v>4</v>
      </c>
    </row>
    <row r="464" spans="1:18" x14ac:dyDescent="0.25">
      <c r="A464" s="39" t="s">
        <v>367</v>
      </c>
      <c r="B464" s="39" t="s">
        <v>89</v>
      </c>
      <c r="C464" s="39" t="s">
        <v>89</v>
      </c>
      <c r="E464" s="39" t="s">
        <v>84</v>
      </c>
      <c r="G464" s="39">
        <v>2</v>
      </c>
      <c r="K464" s="39" t="s">
        <v>88</v>
      </c>
      <c r="P464" s="39" t="s">
        <v>4</v>
      </c>
      <c r="R464" s="39" t="s">
        <v>181</v>
      </c>
    </row>
    <row r="465" spans="1:18" x14ac:dyDescent="0.25">
      <c r="A465" s="39" t="s">
        <v>367</v>
      </c>
      <c r="B465" s="39" t="s">
        <v>90</v>
      </c>
      <c r="C465" s="39" t="s">
        <v>90</v>
      </c>
      <c r="E465" s="39" t="s">
        <v>84</v>
      </c>
      <c r="G465" s="39">
        <v>2</v>
      </c>
      <c r="K465" s="39" t="s">
        <v>85</v>
      </c>
      <c r="L465" s="144">
        <v>255</v>
      </c>
      <c r="P465" s="39" t="s">
        <v>4</v>
      </c>
      <c r="Q465" s="39" t="s">
        <v>91</v>
      </c>
      <c r="R465" s="39" t="s">
        <v>181</v>
      </c>
    </row>
    <row r="466" spans="1:18" x14ac:dyDescent="0.25">
      <c r="A466" s="39" t="s">
        <v>367</v>
      </c>
      <c r="B466" s="39" t="s">
        <v>92</v>
      </c>
      <c r="C466" s="39" t="s">
        <v>92</v>
      </c>
      <c r="E466" s="39" t="s">
        <v>84</v>
      </c>
      <c r="G466" s="39">
        <v>2</v>
      </c>
      <c r="K466" s="39" t="s">
        <v>93</v>
      </c>
      <c r="P466" s="39" t="s">
        <v>4</v>
      </c>
      <c r="Q466" s="39" t="s">
        <v>94</v>
      </c>
      <c r="R466" s="39" t="s">
        <v>181</v>
      </c>
    </row>
    <row r="467" spans="1:18" x14ac:dyDescent="0.25">
      <c r="A467" s="39" t="s">
        <v>367</v>
      </c>
      <c r="B467" s="39" t="s">
        <v>95</v>
      </c>
      <c r="C467" s="39" t="s">
        <v>95</v>
      </c>
      <c r="E467" s="39" t="s">
        <v>84</v>
      </c>
      <c r="G467" s="39">
        <v>2</v>
      </c>
      <c r="K467" s="39" t="s">
        <v>85</v>
      </c>
      <c r="L467" s="144">
        <v>255</v>
      </c>
      <c r="P467" s="39" t="s">
        <v>4</v>
      </c>
      <c r="Q467" s="39" t="s">
        <v>91</v>
      </c>
      <c r="R467" s="39" t="s">
        <v>181</v>
      </c>
    </row>
    <row r="468" spans="1:18" s="145" customFormat="1" x14ac:dyDescent="0.25">
      <c r="A468" s="145" t="s">
        <v>369</v>
      </c>
      <c r="B468" s="145" t="s">
        <v>370</v>
      </c>
      <c r="C468" s="145" t="s">
        <v>370</v>
      </c>
      <c r="D468" s="145" t="s">
        <v>178</v>
      </c>
      <c r="G468" s="145" t="s">
        <v>179</v>
      </c>
      <c r="H468" s="146"/>
      <c r="K468" s="145" t="s">
        <v>107</v>
      </c>
      <c r="L468" s="146"/>
      <c r="N468" s="146" t="s">
        <v>180</v>
      </c>
      <c r="O468" s="146"/>
      <c r="P468" s="145" t="s">
        <v>4</v>
      </c>
      <c r="R468" s="145" t="s">
        <v>181</v>
      </c>
    </row>
    <row r="469" spans="1:18" x14ac:dyDescent="0.25">
      <c r="A469" s="39" t="s">
        <v>369</v>
      </c>
      <c r="B469" s="39" t="s">
        <v>105</v>
      </c>
      <c r="C469" s="39" t="s">
        <v>105</v>
      </c>
      <c r="D469" s="39" t="s">
        <v>182</v>
      </c>
      <c r="G469" s="39" t="s">
        <v>179</v>
      </c>
      <c r="K469" s="39" t="s">
        <v>85</v>
      </c>
      <c r="L469" s="144">
        <v>255</v>
      </c>
      <c r="P469" s="39" t="s">
        <v>4</v>
      </c>
    </row>
    <row r="470" spans="1:18" x14ac:dyDescent="0.25">
      <c r="A470" s="39" t="s">
        <v>369</v>
      </c>
      <c r="B470" s="39" t="s">
        <v>368</v>
      </c>
      <c r="C470" s="39" t="s">
        <v>368</v>
      </c>
      <c r="K470" s="39" t="s">
        <v>107</v>
      </c>
      <c r="N470" s="144" t="s">
        <v>108</v>
      </c>
      <c r="O470" s="144" t="s">
        <v>367</v>
      </c>
      <c r="P470" s="39" t="s">
        <v>4</v>
      </c>
    </row>
    <row r="471" spans="1:18" x14ac:dyDescent="0.25">
      <c r="A471" s="39" t="s">
        <v>369</v>
      </c>
      <c r="B471" s="39" t="s">
        <v>219</v>
      </c>
      <c r="C471" s="39" t="s">
        <v>219</v>
      </c>
      <c r="K471" s="39" t="s">
        <v>107</v>
      </c>
      <c r="N471" s="144" t="s">
        <v>108</v>
      </c>
      <c r="O471" s="144" t="s">
        <v>220</v>
      </c>
      <c r="P471" s="39" t="s">
        <v>4</v>
      </c>
    </row>
    <row r="472" spans="1:18" x14ac:dyDescent="0.25">
      <c r="A472" s="39" t="s">
        <v>369</v>
      </c>
      <c r="B472" s="39" t="s">
        <v>346</v>
      </c>
      <c r="C472" s="39" t="s">
        <v>346</v>
      </c>
      <c r="K472" s="39" t="s">
        <v>107</v>
      </c>
      <c r="N472" s="144" t="s">
        <v>108</v>
      </c>
      <c r="O472" s="144" t="s">
        <v>345</v>
      </c>
      <c r="P472" s="39" t="s">
        <v>4</v>
      </c>
    </row>
    <row r="473" spans="1:18" x14ac:dyDescent="0.25">
      <c r="A473" s="39" t="s">
        <v>369</v>
      </c>
      <c r="B473" s="39" t="s">
        <v>363</v>
      </c>
      <c r="C473" s="39" t="s">
        <v>363</v>
      </c>
      <c r="K473" s="39" t="s">
        <v>85</v>
      </c>
      <c r="L473" s="144">
        <v>255</v>
      </c>
    </row>
    <row r="474" spans="1:18" x14ac:dyDescent="0.25">
      <c r="A474" s="39" t="s">
        <v>369</v>
      </c>
      <c r="B474" s="39" t="s">
        <v>364</v>
      </c>
      <c r="K474" s="39" t="s">
        <v>85</v>
      </c>
      <c r="L474" s="144">
        <v>20</v>
      </c>
    </row>
    <row r="475" spans="1:18" x14ac:dyDescent="0.25">
      <c r="A475" s="39" t="s">
        <v>369</v>
      </c>
      <c r="B475" s="39" t="s">
        <v>87</v>
      </c>
      <c r="C475" s="39" t="s">
        <v>87</v>
      </c>
      <c r="E475" s="39" t="s">
        <v>84</v>
      </c>
      <c r="G475" s="39">
        <v>2</v>
      </c>
      <c r="K475" s="39" t="s">
        <v>88</v>
      </c>
      <c r="P475" s="39" t="s">
        <v>4</v>
      </c>
    </row>
    <row r="476" spans="1:18" x14ac:dyDescent="0.25">
      <c r="A476" s="39" t="s">
        <v>369</v>
      </c>
      <c r="B476" s="39" t="s">
        <v>89</v>
      </c>
      <c r="C476" s="39" t="s">
        <v>89</v>
      </c>
      <c r="E476" s="39" t="s">
        <v>84</v>
      </c>
      <c r="G476" s="39">
        <v>2</v>
      </c>
      <c r="K476" s="39" t="s">
        <v>88</v>
      </c>
      <c r="P476" s="39" t="s">
        <v>4</v>
      </c>
      <c r="R476" s="39" t="s">
        <v>181</v>
      </c>
    </row>
    <row r="477" spans="1:18" x14ac:dyDescent="0.25">
      <c r="A477" s="39" t="s">
        <v>369</v>
      </c>
      <c r="B477" s="39" t="s">
        <v>90</v>
      </c>
      <c r="C477" s="39" t="s">
        <v>90</v>
      </c>
      <c r="E477" s="39" t="s">
        <v>84</v>
      </c>
      <c r="G477" s="39">
        <v>2</v>
      </c>
      <c r="K477" s="39" t="s">
        <v>85</v>
      </c>
      <c r="L477" s="144">
        <v>255</v>
      </c>
      <c r="P477" s="39" t="s">
        <v>4</v>
      </c>
      <c r="Q477" s="39" t="s">
        <v>91</v>
      </c>
      <c r="R477" s="39" t="s">
        <v>181</v>
      </c>
    </row>
    <row r="478" spans="1:18" x14ac:dyDescent="0.25">
      <c r="A478" s="39" t="s">
        <v>369</v>
      </c>
      <c r="B478" s="39" t="s">
        <v>92</v>
      </c>
      <c r="C478" s="39" t="s">
        <v>92</v>
      </c>
      <c r="E478" s="39" t="s">
        <v>84</v>
      </c>
      <c r="G478" s="39">
        <v>2</v>
      </c>
      <c r="K478" s="39" t="s">
        <v>93</v>
      </c>
      <c r="P478" s="39" t="s">
        <v>4</v>
      </c>
      <c r="Q478" s="39" t="s">
        <v>94</v>
      </c>
      <c r="R478" s="39" t="s">
        <v>181</v>
      </c>
    </row>
    <row r="479" spans="1:18" x14ac:dyDescent="0.25">
      <c r="A479" s="39" t="s">
        <v>369</v>
      </c>
      <c r="B479" s="39" t="s">
        <v>95</v>
      </c>
      <c r="C479" s="39" t="s">
        <v>95</v>
      </c>
      <c r="E479" s="39" t="s">
        <v>84</v>
      </c>
      <c r="G479" s="39">
        <v>2</v>
      </c>
      <c r="K479" s="39" t="s">
        <v>85</v>
      </c>
      <c r="L479" s="144">
        <v>255</v>
      </c>
      <c r="P479" s="39" t="s">
        <v>4</v>
      </c>
      <c r="Q479" s="39" t="s">
        <v>91</v>
      </c>
      <c r="R479" s="39" t="s">
        <v>181</v>
      </c>
    </row>
    <row r="480" spans="1:18" s="145" customFormat="1" x14ac:dyDescent="0.25">
      <c r="A480" s="145" t="s">
        <v>309</v>
      </c>
      <c r="B480" s="145" t="s">
        <v>308</v>
      </c>
      <c r="C480" s="145" t="s">
        <v>308</v>
      </c>
      <c r="D480" s="145" t="s">
        <v>178</v>
      </c>
      <c r="G480" s="145" t="s">
        <v>179</v>
      </c>
      <c r="H480" s="146"/>
      <c r="K480" s="145" t="s">
        <v>107</v>
      </c>
      <c r="L480" s="146"/>
      <c r="N480" s="146" t="s">
        <v>180</v>
      </c>
      <c r="O480" s="146"/>
      <c r="P480" s="145" t="s">
        <v>4</v>
      </c>
      <c r="R480" s="145" t="s">
        <v>181</v>
      </c>
    </row>
    <row r="481" spans="1:18" x14ac:dyDescent="0.25">
      <c r="A481" s="39" t="s">
        <v>309</v>
      </c>
      <c r="B481" s="39" t="s">
        <v>105</v>
      </c>
      <c r="C481" s="39" t="s">
        <v>105</v>
      </c>
      <c r="D481" s="39" t="s">
        <v>182</v>
      </c>
      <c r="G481" s="39" t="s">
        <v>179</v>
      </c>
      <c r="K481" s="39" t="s">
        <v>85</v>
      </c>
      <c r="L481" s="144">
        <v>255</v>
      </c>
      <c r="P481" s="39" t="s">
        <v>4</v>
      </c>
    </row>
    <row r="482" spans="1:18" x14ac:dyDescent="0.25">
      <c r="A482" s="39" t="s">
        <v>309</v>
      </c>
      <c r="B482" s="39" t="s">
        <v>370</v>
      </c>
      <c r="C482" s="39" t="s">
        <v>370</v>
      </c>
      <c r="K482" s="39" t="s">
        <v>107</v>
      </c>
      <c r="N482" s="144" t="s">
        <v>108</v>
      </c>
      <c r="O482" s="144" t="s">
        <v>369</v>
      </c>
      <c r="P482" s="39" t="s">
        <v>4</v>
      </c>
    </row>
    <row r="483" spans="1:18" x14ac:dyDescent="0.25">
      <c r="A483" s="39" t="s">
        <v>309</v>
      </c>
      <c r="B483" s="39" t="s">
        <v>219</v>
      </c>
      <c r="C483" s="39" t="s">
        <v>219</v>
      </c>
      <c r="K483" s="39" t="s">
        <v>107</v>
      </c>
      <c r="N483" s="144" t="s">
        <v>108</v>
      </c>
      <c r="O483" s="144" t="s">
        <v>220</v>
      </c>
      <c r="P483" s="39" t="s">
        <v>4</v>
      </c>
    </row>
    <row r="484" spans="1:18" x14ac:dyDescent="0.25">
      <c r="A484" s="39" t="s">
        <v>309</v>
      </c>
      <c r="B484" s="39" t="s">
        <v>346</v>
      </c>
      <c r="C484" s="39" t="s">
        <v>346</v>
      </c>
      <c r="K484" s="39" t="s">
        <v>107</v>
      </c>
      <c r="N484" s="144" t="s">
        <v>108</v>
      </c>
      <c r="O484" s="144" t="s">
        <v>345</v>
      </c>
      <c r="P484" s="39" t="s">
        <v>4</v>
      </c>
    </row>
    <row r="485" spans="1:18" x14ac:dyDescent="0.25">
      <c r="A485" s="39" t="s">
        <v>309</v>
      </c>
      <c r="B485" s="39" t="s">
        <v>363</v>
      </c>
      <c r="C485" s="39" t="s">
        <v>363</v>
      </c>
      <c r="K485" s="39" t="s">
        <v>85</v>
      </c>
      <c r="L485" s="144">
        <v>255</v>
      </c>
    </row>
    <row r="486" spans="1:18" x14ac:dyDescent="0.25">
      <c r="A486" s="39" t="s">
        <v>309</v>
      </c>
      <c r="B486" s="39" t="s">
        <v>364</v>
      </c>
      <c r="K486" s="39" t="s">
        <v>85</v>
      </c>
      <c r="L486" s="144">
        <v>20</v>
      </c>
    </row>
    <row r="487" spans="1:18" x14ac:dyDescent="0.25">
      <c r="A487" s="39" t="s">
        <v>309</v>
      </c>
      <c r="B487" s="39" t="s">
        <v>87</v>
      </c>
      <c r="C487" s="39" t="s">
        <v>87</v>
      </c>
      <c r="E487" s="39" t="s">
        <v>84</v>
      </c>
      <c r="G487" s="39">
        <v>2</v>
      </c>
      <c r="K487" s="39" t="s">
        <v>88</v>
      </c>
      <c r="P487" s="39" t="s">
        <v>4</v>
      </c>
    </row>
    <row r="488" spans="1:18" x14ac:dyDescent="0.25">
      <c r="A488" s="39" t="s">
        <v>309</v>
      </c>
      <c r="B488" s="39" t="s">
        <v>89</v>
      </c>
      <c r="C488" s="39" t="s">
        <v>89</v>
      </c>
      <c r="E488" s="39" t="s">
        <v>84</v>
      </c>
      <c r="G488" s="39">
        <v>2</v>
      </c>
      <c r="K488" s="39" t="s">
        <v>88</v>
      </c>
      <c r="P488" s="39" t="s">
        <v>4</v>
      </c>
      <c r="R488" s="39" t="s">
        <v>181</v>
      </c>
    </row>
    <row r="489" spans="1:18" x14ac:dyDescent="0.25">
      <c r="A489" s="39" t="s">
        <v>309</v>
      </c>
      <c r="B489" s="39" t="s">
        <v>90</v>
      </c>
      <c r="C489" s="39" t="s">
        <v>90</v>
      </c>
      <c r="E489" s="39" t="s">
        <v>84</v>
      </c>
      <c r="G489" s="39">
        <v>2</v>
      </c>
      <c r="K489" s="39" t="s">
        <v>85</v>
      </c>
      <c r="L489" s="144">
        <v>255</v>
      </c>
      <c r="P489" s="39" t="s">
        <v>4</v>
      </c>
      <c r="Q489" s="39" t="s">
        <v>91</v>
      </c>
      <c r="R489" s="39" t="s">
        <v>181</v>
      </c>
    </row>
    <row r="490" spans="1:18" x14ac:dyDescent="0.25">
      <c r="A490" s="39" t="s">
        <v>309</v>
      </c>
      <c r="B490" s="39" t="s">
        <v>92</v>
      </c>
      <c r="C490" s="39" t="s">
        <v>92</v>
      </c>
      <c r="E490" s="39" t="s">
        <v>84</v>
      </c>
      <c r="G490" s="39">
        <v>2</v>
      </c>
      <c r="K490" s="39" t="s">
        <v>93</v>
      </c>
      <c r="P490" s="39" t="s">
        <v>4</v>
      </c>
      <c r="Q490" s="39" t="s">
        <v>94</v>
      </c>
      <c r="R490" s="39" t="s">
        <v>181</v>
      </c>
    </row>
    <row r="491" spans="1:18" x14ac:dyDescent="0.25">
      <c r="A491" s="39" t="s">
        <v>309</v>
      </c>
      <c r="B491" s="39" t="s">
        <v>95</v>
      </c>
      <c r="C491" s="39" t="s">
        <v>95</v>
      </c>
      <c r="E491" s="39" t="s">
        <v>84</v>
      </c>
      <c r="G491" s="39">
        <v>2</v>
      </c>
      <c r="K491" s="39" t="s">
        <v>85</v>
      </c>
      <c r="L491" s="144">
        <v>255</v>
      </c>
      <c r="P491" s="39" t="s">
        <v>4</v>
      </c>
      <c r="Q491" s="39" t="s">
        <v>91</v>
      </c>
      <c r="R491" s="39" t="s">
        <v>181</v>
      </c>
    </row>
  </sheetData>
  <autoFilter ref="A2:Q491"/>
  <mergeCells count="1">
    <mergeCell ref="I1:P1"/>
  </mergeCells>
  <conditionalFormatting sqref="A3:Q3">
    <cfRule type="expression" dxfId="0" priority="1">
      <formula>MOD(ROW(),2)=1</formula>
    </cfRule>
  </conditionalFormatting>
  <dataValidations count="1">
    <dataValidation type="list" allowBlank="1" showInputMessage="1" showErrorMessage="1" sqref="A1:A2 A4:A1048576">
      <formula1>#REF!</formula1>
    </dataValidation>
  </dataValidations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[1]AllTables!#REF!</xm:f>
          </x14:formula1>
          <xm:sqref>A3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S58"/>
  <sheetViews>
    <sheetView tabSelected="1" workbookViewId="0">
      <pane xSplit="2" topLeftCell="L1" activePane="topRight" state="frozen"/>
      <selection activeCell="B130" sqref="B130"/>
      <selection pane="topRight" activeCell="N63" sqref="N63"/>
    </sheetView>
  </sheetViews>
  <sheetFormatPr defaultRowHeight="11.25" x14ac:dyDescent="0.25"/>
  <cols>
    <col min="1" max="1" width="24" style="39" bestFit="1" customWidth="1"/>
    <col min="2" max="2" width="22.85546875" style="39" bestFit="1" customWidth="1"/>
    <col min="3" max="3" width="22.7109375" style="39" bestFit="1" customWidth="1"/>
    <col min="4" max="4" width="13.28515625" style="39" bestFit="1" customWidth="1"/>
    <col min="5" max="5" width="12.140625" style="39" bestFit="1" customWidth="1"/>
    <col min="6" max="6" width="10.5703125" style="39" bestFit="1" customWidth="1"/>
    <col min="7" max="7" width="12.7109375" style="39" bestFit="1" customWidth="1"/>
    <col min="8" max="8" width="11.7109375" style="39" bestFit="1" customWidth="1"/>
    <col min="9" max="9" width="8.5703125" style="39" bestFit="1" customWidth="1"/>
    <col min="10" max="10" width="11.85546875" style="39" bestFit="1" customWidth="1"/>
    <col min="11" max="11" width="9.140625" style="39" bestFit="1" customWidth="1"/>
    <col min="12" max="12" width="32.5703125" style="39" bestFit="1" customWidth="1"/>
    <col min="13" max="13" width="10.140625" style="39" bestFit="1" customWidth="1"/>
    <col min="14" max="14" width="42.140625" style="39" bestFit="1" customWidth="1"/>
    <col min="15" max="15" width="14.85546875" style="39" bestFit="1" customWidth="1"/>
    <col min="16" max="16" width="14.5703125" style="39" customWidth="1"/>
    <col min="17" max="17" width="13.42578125" style="39" bestFit="1" customWidth="1"/>
    <col min="18" max="18" width="8.28515625" style="39" bestFit="1" customWidth="1"/>
    <col min="19" max="19" width="0" style="39" hidden="1" customWidth="1"/>
    <col min="20" max="16384" width="9.140625" style="39"/>
  </cols>
  <sheetData>
    <row r="1" spans="1:19" s="38" customFormat="1" ht="12.75" customHeight="1" x14ac:dyDescent="0.25">
      <c r="A1" s="78"/>
      <c r="B1" s="79"/>
      <c r="C1" s="79"/>
      <c r="D1" s="79"/>
      <c r="E1" s="79"/>
      <c r="F1" s="79"/>
      <c r="G1" s="80"/>
      <c r="H1" s="151" t="s">
        <v>18</v>
      </c>
      <c r="I1" s="152"/>
      <c r="J1" s="152"/>
      <c r="K1" s="152"/>
      <c r="L1" s="152"/>
      <c r="M1" s="152"/>
      <c r="N1" s="153"/>
      <c r="O1" s="154"/>
      <c r="P1" s="155"/>
      <c r="Q1" s="156"/>
      <c r="R1" s="157"/>
      <c r="S1" s="158"/>
    </row>
    <row r="2" spans="1:19" s="46" customFormat="1" ht="22.5" x14ac:dyDescent="0.25">
      <c r="A2" s="85" t="s">
        <v>35</v>
      </c>
      <c r="B2" s="86" t="s">
        <v>19</v>
      </c>
      <c r="C2" s="86" t="s">
        <v>20</v>
      </c>
      <c r="D2" s="86" t="s">
        <v>21</v>
      </c>
      <c r="E2" s="86" t="s">
        <v>22</v>
      </c>
      <c r="F2" s="86" t="s">
        <v>25</v>
      </c>
      <c r="G2" s="87" t="s">
        <v>26</v>
      </c>
      <c r="H2" s="88" t="s">
        <v>27</v>
      </c>
      <c r="I2" s="89" t="s">
        <v>28</v>
      </c>
      <c r="J2" s="89" t="s">
        <v>29</v>
      </c>
      <c r="K2" s="89" t="s">
        <v>32</v>
      </c>
      <c r="L2" s="86" t="s">
        <v>33</v>
      </c>
      <c r="M2" s="89" t="s">
        <v>30</v>
      </c>
      <c r="N2" s="89" t="s">
        <v>31</v>
      </c>
      <c r="O2" s="90" t="s">
        <v>104</v>
      </c>
      <c r="P2" s="85" t="s">
        <v>118</v>
      </c>
      <c r="Q2" s="89" t="s">
        <v>43</v>
      </c>
      <c r="R2" s="91" t="s">
        <v>103</v>
      </c>
      <c r="S2" s="92" t="s">
        <v>115</v>
      </c>
    </row>
    <row r="3" spans="1:19" x14ac:dyDescent="0.25">
      <c r="A3" s="57" t="s">
        <v>413</v>
      </c>
      <c r="B3" s="57" t="s">
        <v>427</v>
      </c>
      <c r="C3" s="57" t="s">
        <v>427</v>
      </c>
      <c r="D3" s="57"/>
      <c r="E3" s="57"/>
      <c r="F3" s="57"/>
      <c r="G3" s="57"/>
      <c r="H3" s="57" t="s">
        <v>121</v>
      </c>
      <c r="I3" s="57"/>
      <c r="J3" s="57"/>
      <c r="K3" s="57" t="s">
        <v>4</v>
      </c>
      <c r="L3" s="57"/>
      <c r="M3" s="57" t="s">
        <v>108</v>
      </c>
      <c r="N3" s="57" t="s">
        <v>428</v>
      </c>
      <c r="O3" s="57"/>
      <c r="P3" s="57"/>
      <c r="Q3" s="57"/>
      <c r="R3" s="57"/>
      <c r="S3" s="57">
        <v>1</v>
      </c>
    </row>
    <row r="4" spans="1:19" x14ac:dyDescent="0.25">
      <c r="A4" s="57" t="s">
        <v>413</v>
      </c>
      <c r="B4" s="57" t="s">
        <v>281</v>
      </c>
      <c r="C4" s="57" t="s">
        <v>281</v>
      </c>
      <c r="D4" s="57"/>
      <c r="E4" s="57"/>
      <c r="F4" s="57"/>
      <c r="G4" s="57"/>
      <c r="H4" s="57" t="s">
        <v>121</v>
      </c>
      <c r="I4" s="57"/>
      <c r="J4" s="57"/>
      <c r="K4" s="57" t="s">
        <v>4</v>
      </c>
      <c r="L4" s="57"/>
      <c r="M4" s="57" t="s">
        <v>108</v>
      </c>
      <c r="N4" s="57" t="s">
        <v>442</v>
      </c>
      <c r="O4" s="57"/>
      <c r="P4" s="57"/>
      <c r="Q4" s="57"/>
      <c r="R4" s="57"/>
      <c r="S4" s="57">
        <v>13</v>
      </c>
    </row>
    <row r="5" spans="1:19" x14ac:dyDescent="0.25">
      <c r="A5" s="57" t="s">
        <v>413</v>
      </c>
      <c r="B5" s="57" t="s">
        <v>305</v>
      </c>
      <c r="C5" s="57" t="s">
        <v>305</v>
      </c>
      <c r="D5" s="57"/>
      <c r="E5" s="57"/>
      <c r="F5" s="57"/>
      <c r="G5" s="57"/>
      <c r="H5" s="57" t="s">
        <v>121</v>
      </c>
      <c r="I5" s="57"/>
      <c r="J5" s="57"/>
      <c r="K5" s="57" t="s">
        <v>4</v>
      </c>
      <c r="L5" s="57"/>
      <c r="M5" s="57" t="s">
        <v>108</v>
      </c>
      <c r="N5" s="57" t="s">
        <v>433</v>
      </c>
      <c r="O5" s="57"/>
      <c r="P5" s="57"/>
      <c r="Q5" s="57"/>
      <c r="R5" s="57"/>
      <c r="S5" s="57">
        <v>16</v>
      </c>
    </row>
    <row r="6" spans="1:19" x14ac:dyDescent="0.25">
      <c r="A6" s="57" t="s">
        <v>413</v>
      </c>
      <c r="B6" s="57" t="s">
        <v>436</v>
      </c>
      <c r="C6" s="57" t="s">
        <v>436</v>
      </c>
      <c r="D6" s="57"/>
      <c r="E6" s="57"/>
      <c r="F6" s="57"/>
      <c r="G6" s="57"/>
      <c r="H6" s="57" t="s">
        <v>121</v>
      </c>
      <c r="I6" s="57"/>
      <c r="J6" s="57"/>
      <c r="K6" s="57" t="s">
        <v>4</v>
      </c>
      <c r="L6" s="57"/>
      <c r="M6" s="57" t="s">
        <v>108</v>
      </c>
      <c r="N6" s="57" t="s">
        <v>437</v>
      </c>
      <c r="O6" s="57"/>
      <c r="P6" s="57"/>
      <c r="Q6" s="57"/>
      <c r="R6" s="57"/>
      <c r="S6" s="57">
        <v>19</v>
      </c>
    </row>
    <row r="7" spans="1:19" x14ac:dyDescent="0.25">
      <c r="A7" s="57" t="s">
        <v>413</v>
      </c>
      <c r="B7" s="57" t="s">
        <v>438</v>
      </c>
      <c r="C7" s="57" t="s">
        <v>438</v>
      </c>
      <c r="D7" s="57"/>
      <c r="E7" s="57"/>
      <c r="F7" s="57"/>
      <c r="G7" s="57"/>
      <c r="H7" s="57" t="s">
        <v>121</v>
      </c>
      <c r="I7" s="57"/>
      <c r="J7" s="57"/>
      <c r="K7" s="57" t="s">
        <v>4</v>
      </c>
      <c r="L7" s="57"/>
      <c r="M7" s="57" t="s">
        <v>108</v>
      </c>
      <c r="N7" s="57" t="s">
        <v>439</v>
      </c>
      <c r="O7" s="57"/>
      <c r="P7" s="57"/>
      <c r="Q7" s="57"/>
      <c r="R7" s="57"/>
      <c r="S7" s="57">
        <v>22</v>
      </c>
    </row>
    <row r="8" spans="1:19" x14ac:dyDescent="0.25">
      <c r="A8" s="57" t="s">
        <v>413</v>
      </c>
      <c r="B8" s="57" t="s">
        <v>156</v>
      </c>
      <c r="C8" s="57" t="s">
        <v>156</v>
      </c>
      <c r="D8" s="57"/>
      <c r="E8" s="57"/>
      <c r="F8" s="57"/>
      <c r="G8" s="57"/>
      <c r="H8" s="57" t="s">
        <v>123</v>
      </c>
      <c r="I8" s="57">
        <v>18</v>
      </c>
      <c r="J8" s="57">
        <v>2</v>
      </c>
      <c r="K8" s="57" t="s">
        <v>4</v>
      </c>
      <c r="L8" s="57"/>
      <c r="M8" s="57"/>
      <c r="N8" s="57"/>
      <c r="O8" s="57"/>
      <c r="P8" s="57"/>
      <c r="Q8" s="57"/>
      <c r="R8" s="57"/>
      <c r="S8" s="57">
        <v>1000</v>
      </c>
    </row>
    <row r="9" spans="1:19" x14ac:dyDescent="0.25">
      <c r="A9" s="57" t="s">
        <v>415</v>
      </c>
      <c r="B9" s="57" t="s">
        <v>427</v>
      </c>
      <c r="C9" s="57" t="s">
        <v>427</v>
      </c>
      <c r="D9" s="57"/>
      <c r="E9" s="57"/>
      <c r="F9" s="57"/>
      <c r="G9" s="57"/>
      <c r="H9" s="57" t="s">
        <v>121</v>
      </c>
      <c r="I9" s="57"/>
      <c r="J9" s="57"/>
      <c r="K9" s="57" t="s">
        <v>4</v>
      </c>
      <c r="L9" s="57"/>
      <c r="M9" s="57" t="s">
        <v>108</v>
      </c>
      <c r="N9" s="57" t="s">
        <v>428</v>
      </c>
      <c r="O9" s="57"/>
      <c r="P9" s="57"/>
      <c r="Q9" s="57"/>
      <c r="R9" s="57"/>
      <c r="S9" s="57">
        <v>2</v>
      </c>
    </row>
    <row r="10" spans="1:19" x14ac:dyDescent="0.25">
      <c r="A10" s="57" t="s">
        <v>415</v>
      </c>
      <c r="B10" s="57" t="s">
        <v>281</v>
      </c>
      <c r="C10" s="57" t="s">
        <v>281</v>
      </c>
      <c r="D10" s="57"/>
      <c r="E10" s="57"/>
      <c r="F10" s="57"/>
      <c r="G10" s="57"/>
      <c r="H10" s="57" t="s">
        <v>121</v>
      </c>
      <c r="I10" s="57"/>
      <c r="J10" s="57"/>
      <c r="K10" s="57" t="s">
        <v>4</v>
      </c>
      <c r="L10" s="57"/>
      <c r="M10" s="57" t="s">
        <v>108</v>
      </c>
      <c r="N10" s="57" t="s">
        <v>442</v>
      </c>
      <c r="O10" s="57"/>
      <c r="P10" s="57"/>
      <c r="Q10" s="57"/>
      <c r="R10" s="57"/>
      <c r="S10" s="57">
        <v>14</v>
      </c>
    </row>
    <row r="11" spans="1:19" x14ac:dyDescent="0.25">
      <c r="A11" s="57" t="s">
        <v>415</v>
      </c>
      <c r="B11" s="57" t="s">
        <v>305</v>
      </c>
      <c r="C11" s="57" t="s">
        <v>305</v>
      </c>
      <c r="D11" s="57"/>
      <c r="E11" s="57"/>
      <c r="F11" s="57"/>
      <c r="G11" s="57"/>
      <c r="H11" s="57" t="s">
        <v>121</v>
      </c>
      <c r="I11" s="57"/>
      <c r="J11" s="57"/>
      <c r="K11" s="57" t="s">
        <v>4</v>
      </c>
      <c r="L11" s="57"/>
      <c r="M11" s="57" t="s">
        <v>108</v>
      </c>
      <c r="N11" s="57" t="s">
        <v>433</v>
      </c>
      <c r="O11" s="57"/>
      <c r="P11" s="57"/>
      <c r="Q11" s="57"/>
      <c r="R11" s="57"/>
      <c r="S11" s="57">
        <v>17</v>
      </c>
    </row>
    <row r="12" spans="1:19" x14ac:dyDescent="0.25">
      <c r="A12" s="57" t="s">
        <v>415</v>
      </c>
      <c r="B12" s="57" t="s">
        <v>436</v>
      </c>
      <c r="C12" s="57" t="s">
        <v>436</v>
      </c>
      <c r="D12" s="57"/>
      <c r="E12" s="57"/>
      <c r="F12" s="57"/>
      <c r="G12" s="57"/>
      <c r="H12" s="57" t="s">
        <v>121</v>
      </c>
      <c r="I12" s="57"/>
      <c r="J12" s="57"/>
      <c r="K12" s="57" t="s">
        <v>4</v>
      </c>
      <c r="L12" s="57"/>
      <c r="M12" s="57" t="s">
        <v>108</v>
      </c>
      <c r="N12" s="57" t="s">
        <v>437</v>
      </c>
      <c r="O12" s="57"/>
      <c r="P12" s="57"/>
      <c r="Q12" s="57"/>
      <c r="R12" s="57"/>
      <c r="S12" s="57">
        <v>20</v>
      </c>
    </row>
    <row r="13" spans="1:19" x14ac:dyDescent="0.25">
      <c r="A13" s="57" t="s">
        <v>415</v>
      </c>
      <c r="B13" s="57" t="s">
        <v>438</v>
      </c>
      <c r="C13" s="57" t="s">
        <v>438</v>
      </c>
      <c r="D13" s="57"/>
      <c r="E13" s="57"/>
      <c r="F13" s="57"/>
      <c r="G13" s="57"/>
      <c r="H13" s="57" t="s">
        <v>121</v>
      </c>
      <c r="I13" s="57"/>
      <c r="J13" s="57"/>
      <c r="K13" s="57" t="s">
        <v>4</v>
      </c>
      <c r="L13" s="57"/>
      <c r="M13" s="57" t="s">
        <v>108</v>
      </c>
      <c r="N13" s="57" t="s">
        <v>439</v>
      </c>
      <c r="O13" s="57"/>
      <c r="P13" s="57"/>
      <c r="Q13" s="57"/>
      <c r="R13" s="57"/>
      <c r="S13" s="57">
        <v>23</v>
      </c>
    </row>
    <row r="14" spans="1:19" x14ac:dyDescent="0.25">
      <c r="A14" s="57" t="s">
        <v>405</v>
      </c>
      <c r="B14" s="57" t="s">
        <v>427</v>
      </c>
      <c r="C14" s="57" t="s">
        <v>427</v>
      </c>
      <c r="D14" s="57"/>
      <c r="E14" s="57"/>
      <c r="F14" s="57"/>
      <c r="G14" s="57"/>
      <c r="H14" s="57" t="s">
        <v>121</v>
      </c>
      <c r="I14" s="57"/>
      <c r="J14" s="57"/>
      <c r="K14" s="57" t="s">
        <v>4</v>
      </c>
      <c r="L14" s="57"/>
      <c r="M14" s="57" t="s">
        <v>108</v>
      </c>
      <c r="N14" s="57" t="s">
        <v>428</v>
      </c>
      <c r="O14" s="57"/>
      <c r="P14" s="57"/>
      <c r="Q14" s="57"/>
      <c r="R14" s="57"/>
      <c r="S14" s="57">
        <v>3</v>
      </c>
    </row>
    <row r="15" spans="1:19" x14ac:dyDescent="0.25">
      <c r="A15" s="57" t="s">
        <v>405</v>
      </c>
      <c r="B15" s="57" t="s">
        <v>429</v>
      </c>
      <c r="C15" s="57" t="s">
        <v>429</v>
      </c>
      <c r="D15" s="57"/>
      <c r="E15" s="57"/>
      <c r="F15" s="57"/>
      <c r="G15" s="57"/>
      <c r="H15" s="57" t="s">
        <v>121</v>
      </c>
      <c r="I15" s="57"/>
      <c r="J15" s="57"/>
      <c r="K15" s="57" t="s">
        <v>4</v>
      </c>
      <c r="L15" s="57"/>
      <c r="M15" s="57" t="s">
        <v>108</v>
      </c>
      <c r="N15" s="57" t="s">
        <v>430</v>
      </c>
      <c r="O15" s="57"/>
      <c r="P15" s="57"/>
      <c r="Q15" s="57"/>
      <c r="R15" s="57"/>
      <c r="S15" s="57">
        <v>6</v>
      </c>
    </row>
    <row r="16" spans="1:19" x14ac:dyDescent="0.25">
      <c r="A16" s="57" t="s">
        <v>405</v>
      </c>
      <c r="B16" s="57" t="s">
        <v>273</v>
      </c>
      <c r="C16" s="57" t="s">
        <v>273</v>
      </c>
      <c r="D16" s="57"/>
      <c r="E16" s="57"/>
      <c r="F16" s="57"/>
      <c r="G16" s="57"/>
      <c r="H16" s="57" t="s">
        <v>121</v>
      </c>
      <c r="I16" s="57"/>
      <c r="J16" s="57"/>
      <c r="K16" s="57" t="s">
        <v>4</v>
      </c>
      <c r="L16" s="57"/>
      <c r="M16" s="57" t="s">
        <v>108</v>
      </c>
      <c r="N16" s="57" t="s">
        <v>431</v>
      </c>
      <c r="O16" s="57"/>
      <c r="P16" s="57"/>
      <c r="Q16" s="57"/>
      <c r="R16" s="57"/>
      <c r="S16" s="57">
        <v>9</v>
      </c>
    </row>
    <row r="17" spans="1:19" x14ac:dyDescent="0.25">
      <c r="A17" s="57" t="s">
        <v>405</v>
      </c>
      <c r="B17" s="57" t="s">
        <v>177</v>
      </c>
      <c r="C17" s="57" t="s">
        <v>177</v>
      </c>
      <c r="D17" s="57"/>
      <c r="E17" s="57"/>
      <c r="F17" s="57"/>
      <c r="G17" s="57"/>
      <c r="H17" s="57" t="s">
        <v>121</v>
      </c>
      <c r="I17" s="57"/>
      <c r="J17" s="57"/>
      <c r="K17" s="57" t="s">
        <v>4</v>
      </c>
      <c r="L17" s="57"/>
      <c r="M17" s="57" t="s">
        <v>108</v>
      </c>
      <c r="N17" s="57" t="s">
        <v>432</v>
      </c>
      <c r="O17" s="57"/>
      <c r="P17" s="57"/>
      <c r="Q17" s="57"/>
      <c r="R17" s="57"/>
      <c r="S17" s="57">
        <v>12</v>
      </c>
    </row>
    <row r="18" spans="1:19" x14ac:dyDescent="0.25">
      <c r="A18" s="57" t="s">
        <v>405</v>
      </c>
      <c r="B18" s="57" t="s">
        <v>305</v>
      </c>
      <c r="C18" s="57" t="s">
        <v>305</v>
      </c>
      <c r="D18" s="57"/>
      <c r="E18" s="57"/>
      <c r="F18" s="57"/>
      <c r="G18" s="57"/>
      <c r="H18" s="57" t="s">
        <v>121</v>
      </c>
      <c r="I18" s="57"/>
      <c r="J18" s="57"/>
      <c r="K18" s="57" t="s">
        <v>4</v>
      </c>
      <c r="L18" s="57"/>
      <c r="M18" s="57" t="s">
        <v>108</v>
      </c>
      <c r="N18" s="57" t="s">
        <v>433</v>
      </c>
      <c r="O18" s="57"/>
      <c r="P18" s="57"/>
      <c r="Q18" s="57"/>
      <c r="R18" s="57"/>
      <c r="S18" s="57">
        <v>18</v>
      </c>
    </row>
    <row r="19" spans="1:19" x14ac:dyDescent="0.25">
      <c r="A19" s="57" t="s">
        <v>405</v>
      </c>
      <c r="B19" s="57" t="s">
        <v>436</v>
      </c>
      <c r="C19" s="57" t="s">
        <v>436</v>
      </c>
      <c r="D19" s="57"/>
      <c r="E19" s="57"/>
      <c r="F19" s="57"/>
      <c r="G19" s="57"/>
      <c r="H19" s="57" t="s">
        <v>121</v>
      </c>
      <c r="I19" s="57"/>
      <c r="J19" s="57"/>
      <c r="K19" s="57" t="s">
        <v>4</v>
      </c>
      <c r="L19" s="57"/>
      <c r="M19" s="57" t="s">
        <v>108</v>
      </c>
      <c r="N19" s="57" t="s">
        <v>437</v>
      </c>
      <c r="O19" s="57"/>
      <c r="P19" s="57"/>
      <c r="Q19" s="57"/>
      <c r="R19" s="57"/>
      <c r="S19" s="57">
        <v>21</v>
      </c>
    </row>
    <row r="20" spans="1:19" x14ac:dyDescent="0.25">
      <c r="A20" s="57" t="s">
        <v>405</v>
      </c>
      <c r="B20" s="57" t="s">
        <v>438</v>
      </c>
      <c r="C20" s="57" t="s">
        <v>438</v>
      </c>
      <c r="D20" s="57"/>
      <c r="E20" s="57"/>
      <c r="F20" s="57"/>
      <c r="G20" s="57"/>
      <c r="H20" s="57" t="s">
        <v>121</v>
      </c>
      <c r="I20" s="57"/>
      <c r="J20" s="57"/>
      <c r="K20" s="57" t="s">
        <v>4</v>
      </c>
      <c r="L20" s="57"/>
      <c r="M20" s="57" t="s">
        <v>108</v>
      </c>
      <c r="N20" s="57" t="s">
        <v>439</v>
      </c>
      <c r="O20" s="57"/>
      <c r="P20" s="57"/>
      <c r="Q20" s="57"/>
      <c r="R20" s="57"/>
      <c r="S20" s="57">
        <v>24</v>
      </c>
    </row>
    <row r="21" spans="1:19" x14ac:dyDescent="0.25">
      <c r="A21" s="57" t="s">
        <v>405</v>
      </c>
      <c r="B21" s="57" t="s">
        <v>139</v>
      </c>
      <c r="C21" s="57" t="s">
        <v>139</v>
      </c>
      <c r="D21" s="57"/>
      <c r="E21" s="57"/>
      <c r="F21" s="57"/>
      <c r="G21" s="57"/>
      <c r="H21" s="57" t="s">
        <v>123</v>
      </c>
      <c r="I21" s="57">
        <v>18</v>
      </c>
      <c r="J21" s="57">
        <v>2</v>
      </c>
      <c r="K21" s="57" t="s">
        <v>4</v>
      </c>
      <c r="L21" s="57"/>
      <c r="M21" s="57"/>
      <c r="N21" s="57"/>
      <c r="O21" s="57"/>
      <c r="P21" s="57"/>
      <c r="Q21" s="57"/>
      <c r="R21" s="57"/>
      <c r="S21" s="57">
        <v>1001</v>
      </c>
    </row>
    <row r="22" spans="1:19" x14ac:dyDescent="0.25">
      <c r="A22" s="57" t="s">
        <v>401</v>
      </c>
      <c r="B22" s="57" t="s">
        <v>427</v>
      </c>
      <c r="C22" s="57" t="s">
        <v>427</v>
      </c>
      <c r="D22" s="57"/>
      <c r="E22" s="57"/>
      <c r="F22" s="57"/>
      <c r="G22" s="57"/>
      <c r="H22" s="57" t="s">
        <v>121</v>
      </c>
      <c r="I22" s="57"/>
      <c r="J22" s="57"/>
      <c r="K22" s="57" t="s">
        <v>4</v>
      </c>
      <c r="L22" s="57"/>
      <c r="M22" s="57" t="s">
        <v>108</v>
      </c>
      <c r="N22" s="57" t="s">
        <v>428</v>
      </c>
      <c r="O22" s="57"/>
      <c r="P22" s="57"/>
      <c r="Q22" s="57"/>
      <c r="R22" s="57"/>
      <c r="S22" s="57">
        <v>2</v>
      </c>
    </row>
    <row r="23" spans="1:19" x14ac:dyDescent="0.25">
      <c r="A23" s="57" t="s">
        <v>401</v>
      </c>
      <c r="B23" s="57" t="s">
        <v>177</v>
      </c>
      <c r="C23" s="57" t="s">
        <v>177</v>
      </c>
      <c r="D23" s="57"/>
      <c r="E23" s="57"/>
      <c r="F23" s="57"/>
      <c r="G23" s="57"/>
      <c r="H23" s="57" t="s">
        <v>121</v>
      </c>
      <c r="I23" s="57"/>
      <c r="J23" s="57"/>
      <c r="K23" s="57" t="s">
        <v>4</v>
      </c>
      <c r="L23" s="57"/>
      <c r="M23" s="57" t="s">
        <v>108</v>
      </c>
      <c r="N23" s="57" t="s">
        <v>432</v>
      </c>
      <c r="O23" s="57"/>
      <c r="P23" s="57"/>
      <c r="Q23" s="57"/>
      <c r="R23" s="57"/>
      <c r="S23" s="57">
        <v>11</v>
      </c>
    </row>
    <row r="24" spans="1:19" x14ac:dyDescent="0.25">
      <c r="A24" s="57" t="s">
        <v>399</v>
      </c>
      <c r="B24" s="57" t="s">
        <v>427</v>
      </c>
      <c r="C24" s="57" t="s">
        <v>427</v>
      </c>
      <c r="D24" s="57"/>
      <c r="E24" s="57"/>
      <c r="F24" s="57"/>
      <c r="G24" s="57"/>
      <c r="H24" s="57" t="s">
        <v>121</v>
      </c>
      <c r="I24" s="57"/>
      <c r="J24" s="57"/>
      <c r="K24" s="57" t="s">
        <v>4</v>
      </c>
      <c r="L24" s="57"/>
      <c r="M24" s="57" t="s">
        <v>108</v>
      </c>
      <c r="N24" s="57" t="s">
        <v>428</v>
      </c>
      <c r="O24" s="57"/>
      <c r="P24" s="57"/>
      <c r="Q24" s="57"/>
      <c r="R24" s="57"/>
      <c r="S24" s="57">
        <v>1</v>
      </c>
    </row>
    <row r="25" spans="1:19" x14ac:dyDescent="0.25">
      <c r="A25" s="57" t="s">
        <v>399</v>
      </c>
      <c r="B25" s="57" t="s">
        <v>429</v>
      </c>
      <c r="C25" s="57" t="s">
        <v>429</v>
      </c>
      <c r="D25" s="57"/>
      <c r="E25" s="57"/>
      <c r="F25" s="57"/>
      <c r="G25" s="57"/>
      <c r="H25" s="57" t="s">
        <v>121</v>
      </c>
      <c r="I25" s="57"/>
      <c r="J25" s="57"/>
      <c r="K25" s="57" t="s">
        <v>4</v>
      </c>
      <c r="L25" s="57"/>
      <c r="M25" s="57" t="s">
        <v>108</v>
      </c>
      <c r="N25" s="57" t="s">
        <v>430</v>
      </c>
      <c r="O25" s="57"/>
      <c r="P25" s="57"/>
      <c r="Q25" s="57"/>
      <c r="R25" s="57"/>
      <c r="S25" s="57">
        <v>4</v>
      </c>
    </row>
    <row r="26" spans="1:19" x14ac:dyDescent="0.25">
      <c r="A26" s="57" t="s">
        <v>399</v>
      </c>
      <c r="B26" s="57" t="s">
        <v>273</v>
      </c>
      <c r="C26" s="57" t="s">
        <v>273</v>
      </c>
      <c r="D26" s="57"/>
      <c r="E26" s="57"/>
      <c r="F26" s="57"/>
      <c r="G26" s="57"/>
      <c r="H26" s="57" t="s">
        <v>121</v>
      </c>
      <c r="I26" s="57"/>
      <c r="J26" s="57"/>
      <c r="K26" s="57" t="s">
        <v>4</v>
      </c>
      <c r="L26" s="57"/>
      <c r="M26" s="57" t="s">
        <v>108</v>
      </c>
      <c r="N26" s="57" t="s">
        <v>431</v>
      </c>
      <c r="O26" s="57"/>
      <c r="P26" s="57"/>
      <c r="Q26" s="57"/>
      <c r="R26" s="57"/>
      <c r="S26" s="57">
        <v>7</v>
      </c>
    </row>
    <row r="27" spans="1:19" x14ac:dyDescent="0.25">
      <c r="A27" s="57" t="s">
        <v>399</v>
      </c>
      <c r="B27" s="57" t="s">
        <v>177</v>
      </c>
      <c r="C27" s="57" t="s">
        <v>177</v>
      </c>
      <c r="D27" s="57"/>
      <c r="E27" s="57"/>
      <c r="F27" s="57"/>
      <c r="G27" s="57"/>
      <c r="H27" s="57" t="s">
        <v>121</v>
      </c>
      <c r="I27" s="57"/>
      <c r="J27" s="57"/>
      <c r="K27" s="57" t="s">
        <v>4</v>
      </c>
      <c r="L27" s="57"/>
      <c r="M27" s="57" t="s">
        <v>108</v>
      </c>
      <c r="N27" s="57" t="s">
        <v>432</v>
      </c>
      <c r="O27" s="57"/>
      <c r="P27" s="57"/>
      <c r="Q27" s="57"/>
      <c r="R27" s="57"/>
      <c r="S27" s="57">
        <v>10</v>
      </c>
    </row>
    <row r="28" spans="1:19" x14ac:dyDescent="0.25">
      <c r="A28" s="57" t="s">
        <v>399</v>
      </c>
      <c r="B28" s="57" t="s">
        <v>305</v>
      </c>
      <c r="C28" s="57" t="s">
        <v>305</v>
      </c>
      <c r="D28" s="57"/>
      <c r="E28" s="57"/>
      <c r="F28" s="57"/>
      <c r="G28" s="57"/>
      <c r="H28" s="57" t="s">
        <v>121</v>
      </c>
      <c r="I28" s="57"/>
      <c r="J28" s="57"/>
      <c r="K28" s="57" t="s">
        <v>4</v>
      </c>
      <c r="L28" s="57"/>
      <c r="M28" s="57" t="s">
        <v>108</v>
      </c>
      <c r="N28" s="57" t="s">
        <v>433</v>
      </c>
      <c r="O28" s="57"/>
      <c r="P28" s="57"/>
      <c r="Q28" s="57"/>
      <c r="R28" s="57"/>
      <c r="S28" s="57">
        <v>13</v>
      </c>
    </row>
    <row r="29" spans="1:19" x14ac:dyDescent="0.25">
      <c r="A29" s="57" t="s">
        <v>399</v>
      </c>
      <c r="B29" s="57" t="s">
        <v>205</v>
      </c>
      <c r="C29" s="57" t="s">
        <v>205</v>
      </c>
      <c r="D29" s="57"/>
      <c r="E29" s="57"/>
      <c r="F29" s="57"/>
      <c r="G29" s="57"/>
      <c r="H29" s="57" t="s">
        <v>121</v>
      </c>
      <c r="I29" s="57"/>
      <c r="J29" s="57"/>
      <c r="K29" s="57" t="s">
        <v>4</v>
      </c>
      <c r="L29" s="57"/>
      <c r="M29" s="57" t="s">
        <v>108</v>
      </c>
      <c r="N29" s="57" t="s">
        <v>434</v>
      </c>
      <c r="O29" s="57"/>
      <c r="P29" s="57"/>
      <c r="Q29" s="57"/>
      <c r="R29" s="57"/>
      <c r="S29" s="57">
        <v>16</v>
      </c>
    </row>
    <row r="30" spans="1:19" x14ac:dyDescent="0.25">
      <c r="A30" s="57" t="s">
        <v>399</v>
      </c>
      <c r="B30" s="57" t="s">
        <v>198</v>
      </c>
      <c r="C30" s="57" t="s">
        <v>198</v>
      </c>
      <c r="D30" s="57"/>
      <c r="E30" s="57"/>
      <c r="F30" s="57"/>
      <c r="G30" s="57"/>
      <c r="H30" s="57" t="s">
        <v>121</v>
      </c>
      <c r="I30" s="57"/>
      <c r="J30" s="57"/>
      <c r="K30" s="57" t="s">
        <v>4</v>
      </c>
      <c r="L30" s="57"/>
      <c r="M30" s="57" t="s">
        <v>108</v>
      </c>
      <c r="N30" s="57" t="s">
        <v>435</v>
      </c>
      <c r="O30" s="57"/>
      <c r="P30" s="57"/>
      <c r="Q30" s="57"/>
      <c r="R30" s="57"/>
      <c r="S30" s="57">
        <v>19</v>
      </c>
    </row>
    <row r="31" spans="1:19" x14ac:dyDescent="0.25">
      <c r="A31" s="57" t="s">
        <v>399</v>
      </c>
      <c r="B31" s="57" t="s">
        <v>436</v>
      </c>
      <c r="C31" s="57" t="s">
        <v>436</v>
      </c>
      <c r="D31" s="57"/>
      <c r="E31" s="57"/>
      <c r="F31" s="57"/>
      <c r="G31" s="57"/>
      <c r="H31" s="57" t="s">
        <v>121</v>
      </c>
      <c r="I31" s="57"/>
      <c r="J31" s="57"/>
      <c r="K31" s="57" t="s">
        <v>4</v>
      </c>
      <c r="L31" s="57"/>
      <c r="M31" s="57" t="s">
        <v>108</v>
      </c>
      <c r="N31" s="57" t="s">
        <v>437</v>
      </c>
      <c r="O31" s="57"/>
      <c r="P31" s="57"/>
      <c r="Q31" s="57"/>
      <c r="R31" s="57"/>
      <c r="S31" s="57">
        <v>22</v>
      </c>
    </row>
    <row r="32" spans="1:19" x14ac:dyDescent="0.25">
      <c r="A32" s="57" t="s">
        <v>399</v>
      </c>
      <c r="B32" s="57" t="s">
        <v>438</v>
      </c>
      <c r="C32" s="57" t="s">
        <v>438</v>
      </c>
      <c r="D32" s="57"/>
      <c r="E32" s="57"/>
      <c r="F32" s="57"/>
      <c r="G32" s="57"/>
      <c r="H32" s="57" t="s">
        <v>121</v>
      </c>
      <c r="I32" s="57"/>
      <c r="J32" s="57"/>
      <c r="K32" s="57" t="s">
        <v>4</v>
      </c>
      <c r="L32" s="57"/>
      <c r="M32" s="57" t="s">
        <v>108</v>
      </c>
      <c r="N32" s="57" t="s">
        <v>439</v>
      </c>
      <c r="O32" s="57"/>
      <c r="P32" s="57"/>
      <c r="Q32" s="57"/>
      <c r="R32" s="57"/>
      <c r="S32" s="57">
        <v>25</v>
      </c>
    </row>
    <row r="33" spans="1:19" x14ac:dyDescent="0.25">
      <c r="A33" s="57" t="s">
        <v>399</v>
      </c>
      <c r="B33" s="57" t="s">
        <v>139</v>
      </c>
      <c r="C33" s="57" t="s">
        <v>139</v>
      </c>
      <c r="D33" s="57"/>
      <c r="E33" s="57"/>
      <c r="F33" s="57"/>
      <c r="G33" s="57"/>
      <c r="H33" s="57" t="s">
        <v>123</v>
      </c>
      <c r="I33" s="57">
        <v>18</v>
      </c>
      <c r="J33" s="57">
        <v>2</v>
      </c>
      <c r="K33" s="57" t="s">
        <v>4</v>
      </c>
      <c r="L33" s="57"/>
      <c r="M33" s="57"/>
      <c r="N33" s="57"/>
      <c r="O33" s="57"/>
      <c r="P33" s="57"/>
      <c r="Q33" s="57"/>
      <c r="R33" s="57"/>
      <c r="S33" s="57">
        <v>1000</v>
      </c>
    </row>
    <row r="34" spans="1:19" x14ac:dyDescent="0.25">
      <c r="A34" s="57" t="s">
        <v>399</v>
      </c>
      <c r="B34" s="57" t="s">
        <v>440</v>
      </c>
      <c r="C34" s="57" t="s">
        <v>440</v>
      </c>
      <c r="D34" s="57"/>
      <c r="E34" s="57"/>
      <c r="F34" s="57"/>
      <c r="G34" s="57"/>
      <c r="H34" s="57" t="s">
        <v>123</v>
      </c>
      <c r="I34" s="57">
        <v>18</v>
      </c>
      <c r="J34" s="57">
        <v>2</v>
      </c>
      <c r="K34" s="57" t="s">
        <v>4</v>
      </c>
      <c r="L34" s="57"/>
      <c r="M34" s="57"/>
      <c r="N34" s="57"/>
      <c r="O34" s="57"/>
      <c r="P34" s="57"/>
      <c r="Q34" s="57"/>
      <c r="R34" s="57"/>
      <c r="S34" s="57">
        <v>1000</v>
      </c>
    </row>
    <row r="35" spans="1:19" x14ac:dyDescent="0.25">
      <c r="A35" s="57" t="s">
        <v>403</v>
      </c>
      <c r="B35" s="57" t="s">
        <v>427</v>
      </c>
      <c r="C35" s="57" t="s">
        <v>427</v>
      </c>
      <c r="D35" s="57"/>
      <c r="E35" s="57"/>
      <c r="F35" s="57"/>
      <c r="G35" s="57"/>
      <c r="H35" s="57" t="s">
        <v>121</v>
      </c>
      <c r="I35" s="57"/>
      <c r="J35" s="57"/>
      <c r="K35" s="57" t="s">
        <v>4</v>
      </c>
      <c r="L35" s="57"/>
      <c r="M35" s="57" t="s">
        <v>108</v>
      </c>
      <c r="N35" s="57" t="s">
        <v>428</v>
      </c>
      <c r="O35" s="57"/>
      <c r="P35" s="57"/>
      <c r="Q35" s="57"/>
      <c r="R35" s="57"/>
      <c r="S35" s="57">
        <v>3</v>
      </c>
    </row>
    <row r="36" spans="1:19" x14ac:dyDescent="0.25">
      <c r="A36" s="57" t="s">
        <v>403</v>
      </c>
      <c r="B36" s="57" t="s">
        <v>177</v>
      </c>
      <c r="C36" s="57" t="s">
        <v>177</v>
      </c>
      <c r="D36" s="57"/>
      <c r="E36" s="57"/>
      <c r="F36" s="57"/>
      <c r="G36" s="57"/>
      <c r="H36" s="57" t="s">
        <v>121</v>
      </c>
      <c r="I36" s="57"/>
      <c r="J36" s="57"/>
      <c r="K36" s="57" t="s">
        <v>4</v>
      </c>
      <c r="L36" s="57"/>
      <c r="M36" s="57" t="s">
        <v>108</v>
      </c>
      <c r="N36" s="57" t="s">
        <v>432</v>
      </c>
      <c r="O36" s="57"/>
      <c r="P36" s="57"/>
      <c r="Q36" s="57"/>
      <c r="R36" s="57"/>
      <c r="S36" s="57">
        <v>12</v>
      </c>
    </row>
    <row r="37" spans="1:19" x14ac:dyDescent="0.25">
      <c r="A37" s="57" t="s">
        <v>403</v>
      </c>
      <c r="B37" s="57" t="s">
        <v>440</v>
      </c>
      <c r="C37" s="57" t="s">
        <v>440</v>
      </c>
      <c r="D37" s="57"/>
      <c r="E37" s="57"/>
      <c r="F37" s="57"/>
      <c r="G37" s="57"/>
      <c r="H37" s="57" t="s">
        <v>123</v>
      </c>
      <c r="I37" s="57">
        <v>18</v>
      </c>
      <c r="J37" s="57">
        <v>2</v>
      </c>
      <c r="K37" s="57" t="s">
        <v>4</v>
      </c>
      <c r="L37" s="57"/>
      <c r="M37" s="57"/>
      <c r="N37" s="57"/>
      <c r="O37" s="57"/>
      <c r="P37" s="57"/>
      <c r="Q37" s="57"/>
      <c r="R37" s="57"/>
      <c r="S37" s="57">
        <v>1001</v>
      </c>
    </row>
    <row r="38" spans="1:19" x14ac:dyDescent="0.25">
      <c r="A38" s="57" t="s">
        <v>403</v>
      </c>
      <c r="B38" s="57" t="s">
        <v>143</v>
      </c>
      <c r="C38" s="57" t="s">
        <v>143</v>
      </c>
      <c r="D38" s="57"/>
      <c r="E38" s="57"/>
      <c r="F38" s="57"/>
      <c r="G38" s="57"/>
      <c r="H38" s="57" t="s">
        <v>123</v>
      </c>
      <c r="I38" s="57">
        <v>18</v>
      </c>
      <c r="J38" s="57">
        <v>2</v>
      </c>
      <c r="K38" s="57" t="s">
        <v>4</v>
      </c>
      <c r="L38" s="57"/>
      <c r="M38" s="57"/>
      <c r="N38" s="57"/>
      <c r="O38" s="57"/>
      <c r="P38" s="57"/>
      <c r="Q38" s="57"/>
      <c r="R38" s="57"/>
      <c r="S38" s="57">
        <v>1001</v>
      </c>
    </row>
    <row r="39" spans="1:19" x14ac:dyDescent="0.25">
      <c r="A39" s="57" t="s">
        <v>403</v>
      </c>
      <c r="B39" s="57" t="s">
        <v>145</v>
      </c>
      <c r="C39" s="57" t="s">
        <v>145</v>
      </c>
      <c r="D39" s="57"/>
      <c r="E39" s="57"/>
      <c r="F39" s="57"/>
      <c r="G39" s="57"/>
      <c r="H39" s="57" t="s">
        <v>123</v>
      </c>
      <c r="I39" s="57">
        <v>18</v>
      </c>
      <c r="J39" s="57">
        <v>2</v>
      </c>
      <c r="K39" s="57" t="s">
        <v>4</v>
      </c>
      <c r="L39" s="57"/>
      <c r="M39" s="57"/>
      <c r="N39" s="57"/>
      <c r="O39" s="57"/>
      <c r="P39" s="57"/>
      <c r="Q39" s="57"/>
      <c r="R39" s="57"/>
      <c r="S39" s="57">
        <v>1001</v>
      </c>
    </row>
    <row r="40" spans="1:19" x14ac:dyDescent="0.25">
      <c r="A40" s="57" t="s">
        <v>403</v>
      </c>
      <c r="B40" s="57" t="s">
        <v>147</v>
      </c>
      <c r="C40" s="57" t="s">
        <v>147</v>
      </c>
      <c r="D40" s="57"/>
      <c r="E40" s="57"/>
      <c r="F40" s="57"/>
      <c r="G40" s="57"/>
      <c r="H40" s="57" t="s">
        <v>123</v>
      </c>
      <c r="I40" s="57">
        <v>18</v>
      </c>
      <c r="J40" s="57">
        <v>2</v>
      </c>
      <c r="K40" s="57" t="s">
        <v>4</v>
      </c>
      <c r="L40" s="57"/>
      <c r="M40" s="57"/>
      <c r="N40" s="57"/>
      <c r="O40" s="57"/>
      <c r="P40" s="57"/>
      <c r="Q40" s="57"/>
      <c r="R40" s="57"/>
      <c r="S40" s="57">
        <v>1001</v>
      </c>
    </row>
    <row r="41" spans="1:19" x14ac:dyDescent="0.25">
      <c r="A41" s="57" t="s">
        <v>408</v>
      </c>
      <c r="B41" s="57" t="s">
        <v>427</v>
      </c>
      <c r="C41" s="57" t="s">
        <v>427</v>
      </c>
      <c r="D41" s="57"/>
      <c r="E41" s="57"/>
      <c r="F41" s="57"/>
      <c r="G41" s="57"/>
      <c r="H41" s="57" t="s">
        <v>121</v>
      </c>
      <c r="I41" s="57"/>
      <c r="J41" s="57"/>
      <c r="K41" s="57" t="s">
        <v>4</v>
      </c>
      <c r="L41" s="57"/>
      <c r="M41" s="57" t="s">
        <v>108</v>
      </c>
      <c r="N41" s="57" t="s">
        <v>428</v>
      </c>
      <c r="O41" s="57"/>
      <c r="P41" s="57"/>
      <c r="Q41" s="57"/>
      <c r="R41" s="57"/>
      <c r="S41" s="57">
        <v>1</v>
      </c>
    </row>
    <row r="42" spans="1:19" x14ac:dyDescent="0.25">
      <c r="A42" s="57" t="s">
        <v>408</v>
      </c>
      <c r="B42" s="57" t="s">
        <v>429</v>
      </c>
      <c r="C42" s="57" t="s">
        <v>429</v>
      </c>
      <c r="D42" s="57"/>
      <c r="E42" s="57"/>
      <c r="F42" s="57"/>
      <c r="G42" s="57"/>
      <c r="H42" s="57" t="s">
        <v>121</v>
      </c>
      <c r="I42" s="57"/>
      <c r="J42" s="57"/>
      <c r="K42" s="57" t="s">
        <v>4</v>
      </c>
      <c r="L42" s="57"/>
      <c r="M42" s="57" t="s">
        <v>108</v>
      </c>
      <c r="N42" s="57" t="s">
        <v>430</v>
      </c>
      <c r="O42" s="57"/>
      <c r="P42" s="57"/>
      <c r="Q42" s="57"/>
      <c r="R42" s="57"/>
      <c r="S42" s="57">
        <v>3</v>
      </c>
    </row>
    <row r="43" spans="1:19" x14ac:dyDescent="0.25">
      <c r="A43" s="57" t="s">
        <v>408</v>
      </c>
      <c r="B43" s="57" t="s">
        <v>305</v>
      </c>
      <c r="C43" s="57" t="s">
        <v>305</v>
      </c>
      <c r="D43" s="57"/>
      <c r="E43" s="57"/>
      <c r="F43" s="57"/>
      <c r="G43" s="57"/>
      <c r="H43" s="57" t="s">
        <v>121</v>
      </c>
      <c r="I43" s="57"/>
      <c r="J43" s="57"/>
      <c r="K43" s="57" t="s">
        <v>4</v>
      </c>
      <c r="L43" s="57"/>
      <c r="M43" s="57" t="s">
        <v>108</v>
      </c>
      <c r="N43" s="57" t="s">
        <v>433</v>
      </c>
      <c r="O43" s="57"/>
      <c r="P43" s="57"/>
      <c r="Q43" s="57"/>
      <c r="R43" s="57"/>
      <c r="S43" s="57">
        <v>5</v>
      </c>
    </row>
    <row r="44" spans="1:19" x14ac:dyDescent="0.25">
      <c r="A44" s="57" t="s">
        <v>408</v>
      </c>
      <c r="B44" s="57" t="s">
        <v>198</v>
      </c>
      <c r="C44" s="57" t="s">
        <v>198</v>
      </c>
      <c r="D44" s="57"/>
      <c r="E44" s="57"/>
      <c r="F44" s="57"/>
      <c r="G44" s="57"/>
      <c r="H44" s="57" t="s">
        <v>121</v>
      </c>
      <c r="I44" s="57"/>
      <c r="J44" s="57"/>
      <c r="K44" s="57" t="s">
        <v>4</v>
      </c>
      <c r="L44" s="57"/>
      <c r="M44" s="57" t="s">
        <v>108</v>
      </c>
      <c r="N44" s="57" t="s">
        <v>435</v>
      </c>
      <c r="O44" s="57"/>
      <c r="P44" s="57"/>
      <c r="Q44" s="57"/>
      <c r="R44" s="57"/>
      <c r="S44" s="57">
        <v>7</v>
      </c>
    </row>
    <row r="45" spans="1:19" x14ac:dyDescent="0.25">
      <c r="A45" s="57" t="s">
        <v>408</v>
      </c>
      <c r="B45" s="57" t="s">
        <v>209</v>
      </c>
      <c r="C45" s="57" t="s">
        <v>209</v>
      </c>
      <c r="D45" s="57"/>
      <c r="E45" s="57"/>
      <c r="F45" s="57"/>
      <c r="G45" s="57"/>
      <c r="H45" s="57" t="s">
        <v>121</v>
      </c>
      <c r="I45" s="57"/>
      <c r="J45" s="57"/>
      <c r="K45" s="57" t="s">
        <v>4</v>
      </c>
      <c r="L45" s="57"/>
      <c r="M45" s="57" t="s">
        <v>108</v>
      </c>
      <c r="N45" s="57" t="s">
        <v>443</v>
      </c>
      <c r="O45" s="57"/>
      <c r="P45" s="57"/>
      <c r="Q45" s="57"/>
      <c r="R45" s="57"/>
      <c r="S45" s="57">
        <v>9</v>
      </c>
    </row>
    <row r="46" spans="1:19" x14ac:dyDescent="0.25">
      <c r="A46" s="57" t="s">
        <v>408</v>
      </c>
      <c r="B46" s="57" t="s">
        <v>444</v>
      </c>
      <c r="C46" s="57" t="s">
        <v>444</v>
      </c>
      <c r="D46" s="57"/>
      <c r="E46" s="57"/>
      <c r="F46" s="57"/>
      <c r="G46" s="57"/>
      <c r="H46" s="57" t="s">
        <v>121</v>
      </c>
      <c r="I46" s="57"/>
      <c r="J46" s="57"/>
      <c r="K46" s="57" t="s">
        <v>4</v>
      </c>
      <c r="L46" s="57"/>
      <c r="M46" s="57" t="s">
        <v>108</v>
      </c>
      <c r="N46" s="57" t="s">
        <v>445</v>
      </c>
      <c r="O46" s="57"/>
      <c r="P46" s="57"/>
      <c r="Q46" s="57"/>
      <c r="R46" s="57"/>
      <c r="S46" s="57">
        <v>11</v>
      </c>
    </row>
    <row r="47" spans="1:19" x14ac:dyDescent="0.25">
      <c r="A47" s="57" t="s">
        <v>408</v>
      </c>
      <c r="B47" s="57" t="s">
        <v>446</v>
      </c>
      <c r="C47" s="57" t="s">
        <v>446</v>
      </c>
      <c r="D47" s="57"/>
      <c r="E47" s="57"/>
      <c r="F47" s="57"/>
      <c r="G47" s="57"/>
      <c r="H47" s="57" t="s">
        <v>121</v>
      </c>
      <c r="I47" s="57"/>
      <c r="J47" s="57"/>
      <c r="K47" s="57" t="s">
        <v>4</v>
      </c>
      <c r="L47" s="57"/>
      <c r="M47" s="57" t="s">
        <v>108</v>
      </c>
      <c r="N47" s="57" t="s">
        <v>447</v>
      </c>
      <c r="O47" s="57"/>
      <c r="P47" s="57"/>
      <c r="Q47" s="57"/>
      <c r="R47" s="57"/>
      <c r="S47" s="57">
        <v>13</v>
      </c>
    </row>
    <row r="48" spans="1:19" x14ac:dyDescent="0.25">
      <c r="A48" s="57" t="s">
        <v>408</v>
      </c>
      <c r="B48" s="57" t="s">
        <v>448</v>
      </c>
      <c r="C48" s="57" t="s">
        <v>448</v>
      </c>
      <c r="D48" s="57"/>
      <c r="E48" s="57"/>
      <c r="F48" s="57"/>
      <c r="G48" s="57"/>
      <c r="H48" s="57" t="s">
        <v>121</v>
      </c>
      <c r="I48" s="57"/>
      <c r="J48" s="57"/>
      <c r="K48" s="57" t="s">
        <v>4</v>
      </c>
      <c r="L48" s="57"/>
      <c r="M48" s="57" t="s">
        <v>108</v>
      </c>
      <c r="N48" s="57" t="s">
        <v>449</v>
      </c>
      <c r="O48" s="57"/>
      <c r="P48" s="57"/>
      <c r="Q48" s="57"/>
      <c r="R48" s="57"/>
      <c r="S48" s="57">
        <v>15</v>
      </c>
    </row>
    <row r="49" spans="1:19" x14ac:dyDescent="0.25">
      <c r="A49" s="57" t="s">
        <v>408</v>
      </c>
      <c r="B49" s="57" t="s">
        <v>203</v>
      </c>
      <c r="C49" s="57" t="s">
        <v>203</v>
      </c>
      <c r="D49" s="57"/>
      <c r="E49" s="57"/>
      <c r="F49" s="57"/>
      <c r="G49" s="57"/>
      <c r="H49" s="57" t="s">
        <v>121</v>
      </c>
      <c r="I49" s="57"/>
      <c r="J49" s="57"/>
      <c r="K49" s="57" t="s">
        <v>4</v>
      </c>
      <c r="L49" s="57"/>
      <c r="M49" s="57" t="s">
        <v>108</v>
      </c>
      <c r="N49" s="57" t="s">
        <v>450</v>
      </c>
      <c r="O49" s="57"/>
      <c r="P49" s="57"/>
      <c r="Q49" s="57"/>
      <c r="R49" s="57"/>
      <c r="S49" s="57">
        <v>17</v>
      </c>
    </row>
    <row r="50" spans="1:19" x14ac:dyDescent="0.25">
      <c r="A50" s="57" t="s">
        <v>408</v>
      </c>
      <c r="B50" s="57" t="s">
        <v>436</v>
      </c>
      <c r="C50" s="57" t="s">
        <v>436</v>
      </c>
      <c r="D50" s="57"/>
      <c r="E50" s="57"/>
      <c r="F50" s="57"/>
      <c r="G50" s="57"/>
      <c r="H50" s="57" t="s">
        <v>121</v>
      </c>
      <c r="I50" s="57"/>
      <c r="J50" s="57"/>
      <c r="K50" s="57" t="s">
        <v>4</v>
      </c>
      <c r="L50" s="57"/>
      <c r="M50" s="57" t="s">
        <v>108</v>
      </c>
      <c r="N50" s="57" t="s">
        <v>437</v>
      </c>
      <c r="O50" s="57"/>
      <c r="P50" s="57"/>
      <c r="Q50" s="57"/>
      <c r="R50" s="57"/>
      <c r="S50" s="57">
        <v>19</v>
      </c>
    </row>
    <row r="51" spans="1:19" x14ac:dyDescent="0.25">
      <c r="A51" s="57" t="s">
        <v>408</v>
      </c>
      <c r="B51" s="57" t="s">
        <v>438</v>
      </c>
      <c r="C51" s="57" t="s">
        <v>438</v>
      </c>
      <c r="D51" s="57"/>
      <c r="E51" s="57"/>
      <c r="F51" s="57"/>
      <c r="G51" s="57"/>
      <c r="H51" s="57" t="s">
        <v>121</v>
      </c>
      <c r="I51" s="57"/>
      <c r="J51" s="57"/>
      <c r="K51" s="57" t="s">
        <v>4</v>
      </c>
      <c r="L51" s="57"/>
      <c r="M51" s="57" t="s">
        <v>108</v>
      </c>
      <c r="N51" s="57" t="s">
        <v>439</v>
      </c>
      <c r="O51" s="57"/>
      <c r="P51" s="57"/>
      <c r="Q51" s="57"/>
      <c r="R51" s="57"/>
      <c r="S51" s="57">
        <v>21</v>
      </c>
    </row>
    <row r="52" spans="1:19" x14ac:dyDescent="0.25">
      <c r="A52" s="57" t="s">
        <v>408</v>
      </c>
      <c r="B52" s="57" t="s">
        <v>165</v>
      </c>
      <c r="C52" s="57" t="s">
        <v>165</v>
      </c>
      <c r="D52" s="57"/>
      <c r="E52" s="57"/>
      <c r="F52" s="57"/>
      <c r="G52" s="57"/>
      <c r="H52" s="57" t="s">
        <v>123</v>
      </c>
      <c r="I52" s="57">
        <v>18</v>
      </c>
      <c r="J52" s="57">
        <v>2</v>
      </c>
      <c r="K52" s="57" t="s">
        <v>4</v>
      </c>
      <c r="L52" s="57"/>
      <c r="M52" s="57"/>
      <c r="N52" s="57"/>
      <c r="O52" s="57"/>
      <c r="P52" s="57"/>
      <c r="Q52" s="57"/>
      <c r="R52" s="57"/>
      <c r="S52" s="57">
        <v>1000</v>
      </c>
    </row>
    <row r="53" spans="1:19" x14ac:dyDescent="0.25">
      <c r="A53" s="57" t="s">
        <v>408</v>
      </c>
      <c r="B53" s="57" t="s">
        <v>167</v>
      </c>
      <c r="C53" s="57" t="s">
        <v>167</v>
      </c>
      <c r="D53" s="57"/>
      <c r="E53" s="57"/>
      <c r="F53" s="57"/>
      <c r="G53" s="57"/>
      <c r="H53" s="57" t="s">
        <v>123</v>
      </c>
      <c r="I53" s="57">
        <v>18</v>
      </c>
      <c r="J53" s="57">
        <v>2</v>
      </c>
      <c r="K53" s="57" t="s">
        <v>4</v>
      </c>
      <c r="L53" s="57"/>
      <c r="M53" s="57"/>
      <c r="N53" s="57"/>
      <c r="O53" s="57"/>
      <c r="P53" s="57"/>
      <c r="Q53" s="57"/>
      <c r="R53" s="57"/>
      <c r="S53" s="57">
        <v>1000</v>
      </c>
    </row>
    <row r="54" spans="1:19" x14ac:dyDescent="0.25">
      <c r="A54" s="57" t="s">
        <v>409</v>
      </c>
      <c r="B54" s="57" t="s">
        <v>427</v>
      </c>
      <c r="C54" s="57" t="s">
        <v>427</v>
      </c>
      <c r="D54" s="57"/>
      <c r="E54" s="57"/>
      <c r="F54" s="57"/>
      <c r="G54" s="57"/>
      <c r="H54" s="57" t="s">
        <v>121</v>
      </c>
      <c r="I54" s="57"/>
      <c r="J54" s="57"/>
      <c r="K54" s="57" t="s">
        <v>4</v>
      </c>
      <c r="L54" s="57"/>
      <c r="M54" s="57" t="s">
        <v>108</v>
      </c>
      <c r="N54" s="57" t="s">
        <v>428</v>
      </c>
      <c r="O54" s="57"/>
      <c r="P54" s="57"/>
      <c r="Q54" s="57"/>
      <c r="R54" s="57"/>
      <c r="S54" s="57">
        <v>2</v>
      </c>
    </row>
    <row r="55" spans="1:19" x14ac:dyDescent="0.25">
      <c r="A55" s="57" t="s">
        <v>409</v>
      </c>
      <c r="B55" s="57" t="s">
        <v>305</v>
      </c>
      <c r="C55" s="57" t="s">
        <v>305</v>
      </c>
      <c r="D55" s="57"/>
      <c r="E55" s="57"/>
      <c r="F55" s="57"/>
      <c r="G55" s="57"/>
      <c r="H55" s="57" t="s">
        <v>121</v>
      </c>
      <c r="I55" s="57"/>
      <c r="J55" s="57"/>
      <c r="K55" s="57" t="s">
        <v>4</v>
      </c>
      <c r="L55" s="57"/>
      <c r="M55" s="57" t="s">
        <v>108</v>
      </c>
      <c r="N55" s="57" t="s">
        <v>433</v>
      </c>
      <c r="O55" s="57"/>
      <c r="P55" s="57"/>
      <c r="Q55" s="57"/>
      <c r="R55" s="57"/>
      <c r="S55" s="57">
        <v>6</v>
      </c>
    </row>
    <row r="56" spans="1:19" x14ac:dyDescent="0.25">
      <c r="A56" s="57" t="s">
        <v>409</v>
      </c>
      <c r="B56" s="57" t="s">
        <v>203</v>
      </c>
      <c r="C56" s="57" t="s">
        <v>203</v>
      </c>
      <c r="D56" s="57"/>
      <c r="E56" s="57"/>
      <c r="F56" s="57"/>
      <c r="G56" s="57"/>
      <c r="H56" s="57" t="s">
        <v>121</v>
      </c>
      <c r="I56" s="57"/>
      <c r="J56" s="57"/>
      <c r="K56" s="57" t="s">
        <v>4</v>
      </c>
      <c r="L56" s="57"/>
      <c r="M56" s="57" t="s">
        <v>108</v>
      </c>
      <c r="N56" s="57" t="s">
        <v>450</v>
      </c>
      <c r="O56" s="57"/>
      <c r="P56" s="57"/>
      <c r="Q56" s="57"/>
      <c r="R56" s="57"/>
      <c r="S56" s="57">
        <v>18</v>
      </c>
    </row>
    <row r="57" spans="1:19" x14ac:dyDescent="0.25">
      <c r="A57" s="57" t="s">
        <v>409</v>
      </c>
      <c r="B57" s="57" t="s">
        <v>436</v>
      </c>
      <c r="C57" s="57" t="s">
        <v>436</v>
      </c>
      <c r="D57" s="57"/>
      <c r="E57" s="57"/>
      <c r="F57" s="57"/>
      <c r="G57" s="57"/>
      <c r="H57" s="57" t="s">
        <v>121</v>
      </c>
      <c r="I57" s="57"/>
      <c r="J57" s="57"/>
      <c r="K57" s="57" t="s">
        <v>4</v>
      </c>
      <c r="L57" s="57"/>
      <c r="M57" s="57" t="s">
        <v>108</v>
      </c>
      <c r="N57" s="57" t="s">
        <v>437</v>
      </c>
      <c r="O57" s="57"/>
      <c r="P57" s="57"/>
      <c r="Q57" s="57"/>
      <c r="R57" s="57"/>
      <c r="S57" s="57">
        <v>20</v>
      </c>
    </row>
    <row r="58" spans="1:19" x14ac:dyDescent="0.25">
      <c r="A58" s="57" t="s">
        <v>409</v>
      </c>
      <c r="B58" s="57" t="s">
        <v>438</v>
      </c>
      <c r="C58" s="57" t="s">
        <v>438</v>
      </c>
      <c r="D58" s="57"/>
      <c r="E58" s="57"/>
      <c r="F58" s="57"/>
      <c r="G58" s="57"/>
      <c r="H58" s="57" t="s">
        <v>121</v>
      </c>
      <c r="I58" s="57"/>
      <c r="J58" s="57"/>
      <c r="K58" s="57" t="s">
        <v>4</v>
      </c>
      <c r="L58" s="57"/>
      <c r="M58" s="57" t="s">
        <v>108</v>
      </c>
      <c r="N58" s="57" t="s">
        <v>439</v>
      </c>
      <c r="O58" s="57"/>
      <c r="P58" s="57"/>
      <c r="Q58" s="57"/>
      <c r="R58" s="57"/>
      <c r="S58" s="57">
        <v>22</v>
      </c>
    </row>
  </sheetData>
  <autoFilter ref="A2:S2"/>
  <sortState ref="A3:S58">
    <sortCondition ref="A2"/>
    <sortCondition ref="S2"/>
  </sortState>
  <mergeCells count="2">
    <mergeCell ref="H1:O1"/>
    <mergeCell ref="P1:S1"/>
  </mergeCell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S11"/>
  <sheetViews>
    <sheetView workbookViewId="0">
      <pane xSplit="2" topLeftCell="C1" activePane="topRight" state="frozen"/>
      <selection activeCell="C1048532" sqref="C1048532"/>
      <selection pane="topRight" activeCell="D23" sqref="D23"/>
    </sheetView>
  </sheetViews>
  <sheetFormatPr defaultRowHeight="12.75" x14ac:dyDescent="0.25"/>
  <cols>
    <col min="1" max="1" width="11.85546875" style="38" bestFit="1" customWidth="1"/>
    <col min="2" max="2" width="24.140625" style="38" customWidth="1"/>
    <col min="3" max="3" width="22.7109375" style="38" customWidth="1"/>
    <col min="4" max="4" width="32.28515625" style="38" customWidth="1"/>
    <col min="5" max="5" width="12.140625" style="38" bestFit="1" customWidth="1"/>
    <col min="6" max="6" width="18.140625" style="38" bestFit="1" customWidth="1"/>
    <col min="7" max="7" width="13.85546875" style="38" bestFit="1" customWidth="1"/>
    <col min="8" max="8" width="10.5703125" style="38" bestFit="1" customWidth="1"/>
    <col min="9" max="9" width="12.7109375" style="38" bestFit="1" customWidth="1"/>
    <col min="10" max="10" width="8.42578125" style="38" bestFit="1" customWidth="1"/>
    <col min="11" max="11" width="8.140625" style="38" bestFit="1" customWidth="1"/>
    <col min="12" max="12" width="7.28515625" style="38" bestFit="1" customWidth="1"/>
    <col min="13" max="13" width="4.5703125" style="38" bestFit="1" customWidth="1"/>
    <col min="14" max="14" width="48.140625" style="38" customWidth="1"/>
    <col min="15" max="15" width="5.5703125" style="38" bestFit="1" customWidth="1"/>
    <col min="16" max="16" width="7.140625" style="38" bestFit="1" customWidth="1"/>
    <col min="17" max="17" width="15" style="38" bestFit="1" customWidth="1"/>
    <col min="18" max="19" width="25.7109375" style="38" customWidth="1"/>
    <col min="20" max="16384" width="9.140625" style="38"/>
  </cols>
  <sheetData>
    <row r="1" spans="1:19" ht="12.75" customHeight="1" x14ac:dyDescent="0.25">
      <c r="A1" s="42"/>
      <c r="B1" s="41"/>
      <c r="C1" s="41"/>
      <c r="D1" s="41"/>
      <c r="E1" s="41"/>
      <c r="F1" s="40"/>
      <c r="G1" s="40"/>
      <c r="H1" s="41"/>
      <c r="I1" s="53"/>
      <c r="J1" s="159" t="s">
        <v>18</v>
      </c>
      <c r="K1" s="159"/>
      <c r="L1" s="159"/>
      <c r="M1" s="159"/>
      <c r="N1" s="159"/>
      <c r="O1" s="159"/>
      <c r="P1" s="159"/>
      <c r="Q1" s="159"/>
      <c r="R1" s="42"/>
      <c r="S1" s="42"/>
    </row>
    <row r="2" spans="1:19" s="46" customFormat="1" ht="22.5" x14ac:dyDescent="0.25">
      <c r="A2" s="54" t="s">
        <v>35</v>
      </c>
      <c r="B2" s="55" t="s">
        <v>19</v>
      </c>
      <c r="C2" s="55" t="s">
        <v>20</v>
      </c>
      <c r="D2" s="55" t="s">
        <v>21</v>
      </c>
      <c r="E2" s="55" t="s">
        <v>22</v>
      </c>
      <c r="F2" s="55" t="s">
        <v>23</v>
      </c>
      <c r="G2" s="55" t="s">
        <v>24</v>
      </c>
      <c r="H2" s="55" t="s">
        <v>25</v>
      </c>
      <c r="I2" s="55" t="s">
        <v>26</v>
      </c>
      <c r="J2" s="56" t="s">
        <v>27</v>
      </c>
      <c r="K2" s="56" t="s">
        <v>28</v>
      </c>
      <c r="L2" s="56" t="s">
        <v>29</v>
      </c>
      <c r="M2" s="56" t="s">
        <v>30</v>
      </c>
      <c r="N2" s="56" t="s">
        <v>31</v>
      </c>
      <c r="O2" s="56" t="s">
        <v>32</v>
      </c>
      <c r="P2" s="56" t="s">
        <v>104</v>
      </c>
      <c r="Q2" s="55" t="s">
        <v>33</v>
      </c>
      <c r="R2" s="55" t="s">
        <v>42</v>
      </c>
      <c r="S2" s="56" t="s">
        <v>43</v>
      </c>
    </row>
    <row r="3" spans="1:19" s="39" customFormat="1" ht="11.25" x14ac:dyDescent="0.25">
      <c r="A3" s="57" t="s">
        <v>97</v>
      </c>
      <c r="B3" s="57" t="s">
        <v>83</v>
      </c>
      <c r="C3" s="57" t="s">
        <v>83</v>
      </c>
      <c r="D3" s="57"/>
      <c r="E3" s="57" t="s">
        <v>84</v>
      </c>
      <c r="F3" s="57"/>
      <c r="G3" s="57">
        <v>2</v>
      </c>
      <c r="H3" s="57"/>
      <c r="I3" s="57"/>
      <c r="J3" s="57" t="s">
        <v>85</v>
      </c>
      <c r="K3" s="57">
        <v>255</v>
      </c>
      <c r="L3" s="57"/>
      <c r="M3" s="57"/>
      <c r="N3" s="57"/>
      <c r="O3" s="57" t="s">
        <v>4</v>
      </c>
      <c r="P3" s="57"/>
      <c r="Q3" s="57"/>
      <c r="R3" s="57"/>
      <c r="S3" s="57"/>
    </row>
    <row r="4" spans="1:19" s="39" customFormat="1" ht="11.25" x14ac:dyDescent="0.25">
      <c r="A4" s="57" t="s">
        <v>97</v>
      </c>
      <c r="B4" s="57" t="s">
        <v>86</v>
      </c>
      <c r="C4" s="57" t="s">
        <v>86</v>
      </c>
      <c r="D4" s="57"/>
      <c r="E4" s="57" t="s">
        <v>84</v>
      </c>
      <c r="F4" s="57"/>
      <c r="G4" s="57">
        <v>2</v>
      </c>
      <c r="H4" s="57"/>
      <c r="I4" s="57"/>
      <c r="J4" s="57" t="s">
        <v>85</v>
      </c>
      <c r="K4" s="57">
        <v>50</v>
      </c>
      <c r="L4" s="57"/>
      <c r="M4" s="57"/>
      <c r="N4" s="57"/>
      <c r="O4" s="57" t="s">
        <v>4</v>
      </c>
      <c r="P4" s="57"/>
      <c r="Q4" s="57"/>
      <c r="R4" s="57"/>
      <c r="S4" s="57"/>
    </row>
    <row r="5" spans="1:19" s="39" customFormat="1" ht="11.25" x14ac:dyDescent="0.25">
      <c r="A5" s="57" t="s">
        <v>97</v>
      </c>
      <c r="B5" s="57" t="s">
        <v>105</v>
      </c>
      <c r="C5" s="57" t="s">
        <v>105</v>
      </c>
      <c r="D5" s="57"/>
      <c r="E5" s="57" t="s">
        <v>84</v>
      </c>
      <c r="F5" s="57"/>
      <c r="G5" s="57" t="s">
        <v>116</v>
      </c>
      <c r="H5" s="57"/>
      <c r="I5" s="57"/>
      <c r="J5" s="57" t="s">
        <v>85</v>
      </c>
      <c r="K5" s="57">
        <v>255</v>
      </c>
      <c r="L5" s="57"/>
      <c r="M5" s="57"/>
      <c r="N5" s="57"/>
      <c r="O5" s="57" t="s">
        <v>4</v>
      </c>
      <c r="P5" s="57" t="s">
        <v>50</v>
      </c>
      <c r="Q5" s="57"/>
      <c r="R5" s="57"/>
      <c r="S5" s="57"/>
    </row>
    <row r="6" spans="1:19" s="39" customFormat="1" ht="11.25" x14ac:dyDescent="0.25">
      <c r="A6" s="57" t="s">
        <v>97</v>
      </c>
      <c r="B6" s="57" t="s">
        <v>87</v>
      </c>
      <c r="C6" s="57" t="s">
        <v>87</v>
      </c>
      <c r="D6" s="57"/>
      <c r="E6" s="57" t="s">
        <v>84</v>
      </c>
      <c r="F6" s="57"/>
      <c r="G6" s="57" t="s">
        <v>117</v>
      </c>
      <c r="H6" s="57"/>
      <c r="I6" s="57"/>
      <c r="J6" s="57" t="s">
        <v>88</v>
      </c>
      <c r="K6" s="57"/>
      <c r="L6" s="57"/>
      <c r="M6" s="57"/>
      <c r="N6" s="57"/>
      <c r="O6" s="57" t="s">
        <v>4</v>
      </c>
      <c r="P6" s="57"/>
      <c r="Q6" s="57"/>
      <c r="R6" s="57"/>
      <c r="S6" s="57"/>
    </row>
    <row r="7" spans="1:19" s="39" customFormat="1" ht="11.25" x14ac:dyDescent="0.25">
      <c r="A7" s="57" t="s">
        <v>97</v>
      </c>
      <c r="B7" s="57" t="s">
        <v>89</v>
      </c>
      <c r="C7" s="57" t="s">
        <v>89</v>
      </c>
      <c r="D7" s="57"/>
      <c r="E7" s="57" t="s">
        <v>84</v>
      </c>
      <c r="F7" s="57"/>
      <c r="G7" s="57" t="s">
        <v>89</v>
      </c>
      <c r="H7" s="57"/>
      <c r="I7" s="57"/>
      <c r="J7" s="57" t="s">
        <v>88</v>
      </c>
      <c r="K7" s="57"/>
      <c r="L7" s="57"/>
      <c r="M7" s="57"/>
      <c r="N7" s="57"/>
      <c r="O7" s="57" t="s">
        <v>4</v>
      </c>
      <c r="P7" s="57"/>
      <c r="Q7" s="57"/>
      <c r="R7" s="57"/>
      <c r="S7" s="57"/>
    </row>
    <row r="8" spans="1:19" s="39" customFormat="1" ht="11.25" x14ac:dyDescent="0.25">
      <c r="A8" s="57" t="s">
        <v>97</v>
      </c>
      <c r="B8" s="57" t="s">
        <v>90</v>
      </c>
      <c r="C8" s="57" t="s">
        <v>90</v>
      </c>
      <c r="D8" s="57"/>
      <c r="E8" s="57" t="s">
        <v>84</v>
      </c>
      <c r="F8" s="57"/>
      <c r="G8" s="57"/>
      <c r="H8" s="57"/>
      <c r="I8" s="57"/>
      <c r="J8" s="57" t="s">
        <v>85</v>
      </c>
      <c r="K8" s="57">
        <v>255</v>
      </c>
      <c r="L8" s="57"/>
      <c r="M8" s="57"/>
      <c r="N8" s="57"/>
      <c r="O8" s="57" t="s">
        <v>4</v>
      </c>
      <c r="P8" s="57"/>
      <c r="Q8" s="57" t="s">
        <v>91</v>
      </c>
      <c r="R8" s="57"/>
      <c r="S8" s="57"/>
    </row>
    <row r="9" spans="1:19" s="39" customFormat="1" ht="11.25" x14ac:dyDescent="0.25">
      <c r="A9" s="57" t="s">
        <v>97</v>
      </c>
      <c r="B9" s="57" t="s">
        <v>92</v>
      </c>
      <c r="C9" s="57" t="s">
        <v>92</v>
      </c>
      <c r="D9" s="57"/>
      <c r="E9" s="57" t="s">
        <v>84</v>
      </c>
      <c r="F9" s="57"/>
      <c r="G9" s="57"/>
      <c r="H9" s="57"/>
      <c r="I9" s="57"/>
      <c r="J9" s="57" t="s">
        <v>93</v>
      </c>
      <c r="K9" s="57"/>
      <c r="L9" s="57"/>
      <c r="M9" s="57"/>
      <c r="N9" s="57"/>
      <c r="O9" s="57" t="s">
        <v>4</v>
      </c>
      <c r="P9" s="57"/>
      <c r="Q9" s="57" t="s">
        <v>94</v>
      </c>
      <c r="R9" s="57"/>
      <c r="S9" s="57"/>
    </row>
    <row r="10" spans="1:19" s="39" customFormat="1" ht="11.25" x14ac:dyDescent="0.25">
      <c r="A10" s="57" t="s">
        <v>97</v>
      </c>
      <c r="B10" s="57" t="s">
        <v>95</v>
      </c>
      <c r="C10" s="57" t="s">
        <v>95</v>
      </c>
      <c r="D10" s="57"/>
      <c r="E10" s="57" t="s">
        <v>84</v>
      </c>
      <c r="F10" s="57"/>
      <c r="G10" s="57"/>
      <c r="H10" s="57"/>
      <c r="I10" s="57"/>
      <c r="J10" s="57" t="s">
        <v>85</v>
      </c>
      <c r="K10" s="57">
        <v>255</v>
      </c>
      <c r="L10" s="57"/>
      <c r="M10" s="57"/>
      <c r="N10" s="57"/>
      <c r="O10" s="57" t="s">
        <v>4</v>
      </c>
      <c r="P10" s="57"/>
      <c r="Q10" s="57" t="s">
        <v>91</v>
      </c>
      <c r="R10" s="57"/>
      <c r="S10" s="57"/>
    </row>
    <row r="11" spans="1:19" s="39" customFormat="1" ht="11.25" x14ac:dyDescent="0.25">
      <c r="A11" s="57" t="s">
        <v>97</v>
      </c>
      <c r="B11" s="57" t="s">
        <v>96</v>
      </c>
      <c r="C11" s="57" t="s">
        <v>96</v>
      </c>
      <c r="D11" s="57"/>
      <c r="E11" s="57" t="s">
        <v>84</v>
      </c>
      <c r="F11" s="57"/>
      <c r="G11" s="57"/>
      <c r="H11" s="57"/>
      <c r="I11" s="57"/>
      <c r="J11" s="57" t="s">
        <v>93</v>
      </c>
      <c r="K11" s="57"/>
      <c r="L11" s="57"/>
      <c r="M11" s="57"/>
      <c r="N11" s="57"/>
      <c r="O11" s="57" t="s">
        <v>4</v>
      </c>
      <c r="P11" s="57"/>
      <c r="Q11" s="57" t="s">
        <v>94</v>
      </c>
      <c r="R11" s="57"/>
      <c r="S11" s="57"/>
    </row>
  </sheetData>
  <mergeCells count="1">
    <mergeCell ref="J1:Q1"/>
  </mergeCell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5" tint="0.79998168889431442"/>
  </sheetPr>
  <dimension ref="A1:AE25"/>
  <sheetViews>
    <sheetView showGridLines="0" topLeftCell="A14" zoomScaleNormal="100" workbookViewId="0">
      <selection activeCell="A25" sqref="A25"/>
    </sheetView>
  </sheetViews>
  <sheetFormatPr defaultRowHeight="15" x14ac:dyDescent="0.25"/>
  <cols>
    <col min="1" max="1" width="41.7109375" style="20" customWidth="1"/>
    <col min="2" max="26" width="3.7109375" customWidth="1"/>
    <col min="31" max="31" width="16.85546875" bestFit="1" customWidth="1"/>
  </cols>
  <sheetData>
    <row r="1" spans="1:31" s="1" customFormat="1" ht="30" x14ac:dyDescent="0.25">
      <c r="A1" s="148" t="s">
        <v>422</v>
      </c>
    </row>
    <row r="2" spans="1:31" s="4" customFormat="1" ht="26.25" customHeight="1" x14ac:dyDescent="0.25">
      <c r="A2" s="101" t="s">
        <v>128</v>
      </c>
      <c r="B2" s="102"/>
      <c r="C2" s="102"/>
      <c r="D2" s="102"/>
      <c r="E2" s="102"/>
      <c r="F2" s="102"/>
      <c r="G2" s="102"/>
      <c r="H2" s="103"/>
      <c r="I2" s="103"/>
      <c r="J2" s="103"/>
      <c r="K2" s="103"/>
      <c r="L2" s="103"/>
      <c r="M2" s="102"/>
      <c r="N2" s="102"/>
      <c r="O2" s="102"/>
      <c r="P2" s="102"/>
      <c r="Q2" s="102"/>
      <c r="R2" s="102"/>
      <c r="S2" s="102"/>
      <c r="T2" s="102"/>
      <c r="U2" s="102"/>
      <c r="V2" s="102"/>
      <c r="W2" s="102"/>
      <c r="X2" s="102"/>
      <c r="Y2" s="102"/>
      <c r="Z2" s="102"/>
    </row>
    <row r="3" spans="1:31" s="30" customFormat="1" ht="111" customHeight="1" x14ac:dyDescent="0.25">
      <c r="A3" s="101" t="s">
        <v>0</v>
      </c>
      <c r="B3" s="104" t="s">
        <v>1</v>
      </c>
      <c r="C3" s="104" t="s">
        <v>2</v>
      </c>
      <c r="D3" s="105" t="s">
        <v>129</v>
      </c>
      <c r="E3" s="104" t="s">
        <v>130</v>
      </c>
      <c r="F3" s="106" t="s">
        <v>131</v>
      </c>
      <c r="G3" s="107" t="s">
        <v>132</v>
      </c>
      <c r="H3" s="108" t="s">
        <v>133</v>
      </c>
      <c r="I3" s="107" t="s">
        <v>134</v>
      </c>
      <c r="J3" s="109" t="s">
        <v>135</v>
      </c>
      <c r="K3" s="109"/>
      <c r="L3" s="109"/>
      <c r="M3" s="109"/>
      <c r="N3" s="10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</row>
    <row r="4" spans="1:31" s="4" customFormat="1" x14ac:dyDescent="0.25">
      <c r="A4" s="25" t="s">
        <v>136</v>
      </c>
      <c r="B4" s="5" t="s">
        <v>5</v>
      </c>
      <c r="C4" s="5" t="s">
        <v>5</v>
      </c>
      <c r="D4" s="5" t="s">
        <v>5</v>
      </c>
      <c r="E4" s="5" t="s">
        <v>5</v>
      </c>
      <c r="F4" s="5" t="s">
        <v>5</v>
      </c>
      <c r="G4" s="5" t="s">
        <v>5</v>
      </c>
      <c r="H4" s="5" t="s">
        <v>5</v>
      </c>
      <c r="I4" s="5" t="s">
        <v>5</v>
      </c>
      <c r="J4" s="5" t="s">
        <v>5</v>
      </c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1" x14ac:dyDescent="0.25">
      <c r="A5" s="25" t="s">
        <v>137</v>
      </c>
      <c r="B5" s="5" t="s">
        <v>5</v>
      </c>
      <c r="C5" s="5"/>
      <c r="D5" s="5"/>
      <c r="E5" s="5" t="s">
        <v>5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1" x14ac:dyDescent="0.25">
      <c r="A6" s="22" t="s">
        <v>138</v>
      </c>
      <c r="B6" s="5" t="s">
        <v>5</v>
      </c>
      <c r="C6" s="5"/>
      <c r="D6" s="5"/>
      <c r="E6" s="5" t="s">
        <v>5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1" x14ac:dyDescent="0.25">
      <c r="A7" s="22"/>
      <c r="B7" s="110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111"/>
      <c r="T7" s="111"/>
      <c r="U7" s="111"/>
      <c r="V7" s="111"/>
      <c r="W7" s="111"/>
      <c r="X7" s="111"/>
      <c r="Y7" s="111"/>
      <c r="Z7" s="111"/>
    </row>
    <row r="8" spans="1:31" x14ac:dyDescent="0.25">
      <c r="A8" s="22"/>
      <c r="B8" s="110"/>
      <c r="C8" s="110"/>
      <c r="D8" s="110"/>
      <c r="E8" s="110"/>
      <c r="F8" s="110"/>
      <c r="G8" s="110"/>
      <c r="H8" s="110"/>
      <c r="I8" s="110"/>
      <c r="J8" s="110"/>
      <c r="K8" s="110"/>
      <c r="L8" s="110"/>
      <c r="M8" s="110"/>
      <c r="N8" s="110"/>
      <c r="O8" s="110"/>
      <c r="P8" s="110"/>
      <c r="Q8" s="110"/>
      <c r="R8" s="110"/>
      <c r="S8" s="110"/>
      <c r="T8" s="110"/>
      <c r="U8" s="110"/>
      <c r="V8" s="110"/>
      <c r="W8" s="110"/>
      <c r="X8" s="110"/>
      <c r="Y8" s="110"/>
      <c r="Z8" s="110"/>
    </row>
    <row r="9" spans="1:31" x14ac:dyDescent="0.25">
      <c r="A9" s="22"/>
      <c r="B9" s="110"/>
      <c r="C9" s="110"/>
      <c r="D9" s="110"/>
      <c r="E9" s="110"/>
      <c r="F9" s="110"/>
      <c r="G9" s="110"/>
      <c r="H9" s="110"/>
      <c r="I9" s="110"/>
      <c r="J9" s="110"/>
      <c r="K9" s="110"/>
      <c r="L9" s="110"/>
      <c r="M9" s="110"/>
      <c r="N9" s="110"/>
      <c r="O9" s="110"/>
      <c r="P9" s="110"/>
      <c r="Q9" s="110"/>
      <c r="R9" s="110"/>
      <c r="S9" s="110"/>
      <c r="T9" s="110"/>
      <c r="U9" s="110"/>
      <c r="V9" s="110"/>
      <c r="W9" s="110"/>
      <c r="X9" s="110"/>
      <c r="Y9" s="110"/>
      <c r="Z9" s="110"/>
    </row>
    <row r="10" spans="1:31" x14ac:dyDescent="0.25">
      <c r="A10" s="22"/>
      <c r="B10" s="110"/>
      <c r="C10" s="110"/>
      <c r="D10" s="110"/>
      <c r="E10" s="110"/>
      <c r="F10" s="110"/>
      <c r="G10" s="110"/>
      <c r="H10" s="110"/>
      <c r="I10" s="110"/>
      <c r="J10" s="110"/>
      <c r="K10" s="110"/>
      <c r="L10" s="110"/>
      <c r="M10" s="110"/>
      <c r="N10" s="110"/>
      <c r="O10" s="110"/>
      <c r="P10" s="110"/>
      <c r="Q10" s="110"/>
      <c r="R10" s="110"/>
      <c r="S10" s="110"/>
      <c r="T10" s="110"/>
      <c r="U10" s="110"/>
      <c r="V10" s="110"/>
      <c r="W10" s="110"/>
      <c r="X10" s="110"/>
      <c r="Y10" s="110"/>
      <c r="Z10" s="110"/>
    </row>
    <row r="11" spans="1:31" x14ac:dyDescent="0.25">
      <c r="A11" s="22"/>
      <c r="B11" s="110"/>
      <c r="C11" s="110"/>
      <c r="D11" s="110"/>
      <c r="E11" s="110"/>
      <c r="F11" s="110"/>
      <c r="G11" s="110"/>
      <c r="H11" s="110"/>
      <c r="I11" s="110"/>
      <c r="J11" s="110"/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10"/>
      <c r="Y11" s="110"/>
      <c r="Z11" s="110"/>
    </row>
    <row r="12" spans="1:31" x14ac:dyDescent="0.25">
      <c r="A12" s="22"/>
      <c r="B12" s="110"/>
      <c r="C12" s="110"/>
      <c r="D12" s="110"/>
      <c r="E12" s="110"/>
      <c r="F12" s="110"/>
      <c r="G12" s="110"/>
      <c r="H12" s="110"/>
      <c r="I12" s="110"/>
      <c r="J12" s="110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10"/>
      <c r="Y12" s="110"/>
      <c r="Z12" s="110"/>
    </row>
    <row r="13" spans="1:31" x14ac:dyDescent="0.25">
      <c r="A13" s="21"/>
      <c r="B13" s="110"/>
      <c r="C13" s="110"/>
      <c r="D13" s="110"/>
      <c r="E13" s="110"/>
      <c r="F13" s="110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110"/>
      <c r="S13" s="110"/>
      <c r="T13" s="110"/>
      <c r="U13" s="110"/>
      <c r="V13" s="110"/>
      <c r="W13" s="110"/>
      <c r="X13" s="110"/>
      <c r="Y13" s="110"/>
      <c r="Z13" s="110"/>
      <c r="AE13" s="7"/>
    </row>
    <row r="14" spans="1:31" x14ac:dyDescent="0.25">
      <c r="A14" s="21"/>
      <c r="B14" s="110"/>
      <c r="C14" s="110"/>
      <c r="D14" s="110"/>
      <c r="E14" s="110"/>
      <c r="F14" s="110"/>
      <c r="G14" s="110"/>
      <c r="H14" s="110"/>
      <c r="I14" s="110"/>
      <c r="J14" s="110"/>
      <c r="K14" s="110"/>
      <c r="L14" s="110"/>
      <c r="M14" s="110"/>
      <c r="N14" s="110"/>
      <c r="O14" s="110"/>
      <c r="P14" s="110"/>
      <c r="Q14" s="110"/>
      <c r="R14" s="110"/>
      <c r="S14" s="110"/>
      <c r="T14" s="110"/>
      <c r="U14" s="110"/>
      <c r="V14" s="110"/>
      <c r="W14" s="110"/>
      <c r="X14" s="110"/>
      <c r="Y14" s="110"/>
      <c r="Z14" s="110"/>
    </row>
    <row r="16" spans="1:31" s="36" customFormat="1" ht="78" thickBot="1" x14ac:dyDescent="0.25">
      <c r="A16" s="112" t="s">
        <v>3</v>
      </c>
      <c r="B16" s="113" t="str">
        <f>A4</f>
        <v>FinancialTransactions</v>
      </c>
      <c r="C16" s="113" t="str">
        <f>A5</f>
        <v>Daily GL Snapshot</v>
      </c>
      <c r="D16" s="113" t="str">
        <f>A6</f>
        <v>Monthly GL Snapshot</v>
      </c>
      <c r="E16" s="114"/>
      <c r="F16" s="114"/>
      <c r="G16" s="114"/>
      <c r="H16" s="114"/>
      <c r="I16" s="114"/>
      <c r="J16" s="115"/>
      <c r="K16" s="115"/>
      <c r="L16" s="115"/>
      <c r="M16" s="115"/>
      <c r="N16" s="115"/>
      <c r="O16" s="34"/>
      <c r="P16" s="35"/>
    </row>
    <row r="17" spans="1:15" x14ac:dyDescent="0.25">
      <c r="A17" s="116" t="s">
        <v>139</v>
      </c>
      <c r="B17" s="117" t="s">
        <v>5</v>
      </c>
      <c r="C17" s="117"/>
      <c r="D17" s="117"/>
      <c r="E17" s="117"/>
      <c r="F17" s="117"/>
      <c r="G17" s="117"/>
      <c r="H17" s="117"/>
      <c r="I17" s="117"/>
      <c r="J17" s="117"/>
      <c r="K17" s="117"/>
      <c r="L17" s="117"/>
      <c r="M17" s="117"/>
      <c r="N17" s="118"/>
      <c r="O17" s="15"/>
    </row>
    <row r="18" spans="1:15" x14ac:dyDescent="0.25">
      <c r="A18" s="119" t="s">
        <v>140</v>
      </c>
      <c r="B18" s="5" t="s">
        <v>5</v>
      </c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120"/>
      <c r="O18" s="15"/>
    </row>
    <row r="19" spans="1:15" x14ac:dyDescent="0.25">
      <c r="A19" s="119" t="s">
        <v>141</v>
      </c>
      <c r="B19" s="5" t="s">
        <v>5</v>
      </c>
      <c r="C19" s="5" t="s">
        <v>5</v>
      </c>
      <c r="D19" s="5" t="s">
        <v>5</v>
      </c>
      <c r="E19" s="5"/>
      <c r="F19" s="5"/>
      <c r="G19" s="5"/>
      <c r="H19" s="5"/>
      <c r="I19" s="5"/>
      <c r="J19" s="5"/>
      <c r="K19" s="5"/>
      <c r="L19" s="5"/>
      <c r="M19" s="5"/>
      <c r="N19" s="120"/>
      <c r="O19" s="15"/>
    </row>
    <row r="20" spans="1:15" x14ac:dyDescent="0.25">
      <c r="A20" s="119" t="s">
        <v>142</v>
      </c>
      <c r="B20" s="5"/>
      <c r="C20" s="5" t="s">
        <v>5</v>
      </c>
      <c r="D20" s="5" t="s">
        <v>5</v>
      </c>
      <c r="E20" s="5"/>
      <c r="F20" s="5"/>
      <c r="G20" s="5"/>
      <c r="H20" s="5"/>
      <c r="I20" s="5"/>
      <c r="J20" s="5"/>
      <c r="K20" s="5"/>
      <c r="L20" s="5"/>
      <c r="M20" s="5"/>
      <c r="N20" s="120"/>
      <c r="O20" s="15"/>
    </row>
    <row r="21" spans="1:15" x14ac:dyDescent="0.25">
      <c r="A21" s="119" t="s">
        <v>143</v>
      </c>
      <c r="B21" s="5"/>
      <c r="C21" s="5" t="s">
        <v>5</v>
      </c>
      <c r="D21" s="5" t="s">
        <v>5</v>
      </c>
      <c r="E21" s="5"/>
      <c r="F21" s="5"/>
      <c r="G21" s="5"/>
      <c r="H21" s="5"/>
      <c r="I21" s="5"/>
      <c r="J21" s="5"/>
      <c r="K21" s="5"/>
      <c r="L21" s="5"/>
      <c r="M21" s="5"/>
      <c r="N21" s="120"/>
      <c r="O21" s="15"/>
    </row>
    <row r="22" spans="1:15" x14ac:dyDescent="0.25">
      <c r="A22" s="119" t="s">
        <v>144</v>
      </c>
      <c r="B22" s="5"/>
      <c r="C22" s="5" t="s">
        <v>5</v>
      </c>
      <c r="D22" s="5" t="s">
        <v>5</v>
      </c>
      <c r="E22" s="5"/>
      <c r="F22" s="5"/>
      <c r="G22" s="5"/>
      <c r="H22" s="5"/>
      <c r="I22" s="5"/>
      <c r="J22" s="5"/>
      <c r="K22" s="5"/>
      <c r="L22" s="5"/>
      <c r="M22" s="5"/>
      <c r="N22" s="120"/>
      <c r="O22" s="15"/>
    </row>
    <row r="23" spans="1:15" x14ac:dyDescent="0.25">
      <c r="A23" s="119" t="s">
        <v>145</v>
      </c>
      <c r="B23" s="5"/>
      <c r="C23" s="5" t="s">
        <v>5</v>
      </c>
      <c r="D23" s="5" t="s">
        <v>5</v>
      </c>
      <c r="E23" s="5"/>
      <c r="F23" s="5"/>
      <c r="G23" s="5"/>
      <c r="H23" s="5"/>
      <c r="I23" s="5"/>
      <c r="J23" s="5"/>
      <c r="K23" s="5"/>
      <c r="L23" s="5"/>
      <c r="M23" s="5"/>
      <c r="N23" s="120"/>
      <c r="O23" s="15"/>
    </row>
    <row r="24" spans="1:15" x14ac:dyDescent="0.25">
      <c r="A24" s="119" t="s">
        <v>146</v>
      </c>
      <c r="B24" s="5"/>
      <c r="C24" s="5" t="s">
        <v>5</v>
      </c>
      <c r="D24" s="5" t="s">
        <v>5</v>
      </c>
      <c r="E24" s="5"/>
      <c r="F24" s="5"/>
      <c r="G24" s="5"/>
      <c r="H24" s="5"/>
      <c r="I24" s="5"/>
      <c r="J24" s="5"/>
      <c r="K24" s="5"/>
      <c r="L24" s="5"/>
      <c r="M24" s="5"/>
      <c r="N24" s="120"/>
      <c r="O24" s="15"/>
    </row>
    <row r="25" spans="1:15" ht="15.75" thickBot="1" x14ac:dyDescent="0.3">
      <c r="A25" s="121" t="s">
        <v>147</v>
      </c>
      <c r="B25" s="122"/>
      <c r="C25" s="123" t="s">
        <v>5</v>
      </c>
      <c r="D25" s="123" t="s">
        <v>5</v>
      </c>
      <c r="E25" s="123"/>
      <c r="F25" s="123"/>
      <c r="G25" s="123"/>
      <c r="H25" s="123"/>
      <c r="I25" s="123"/>
      <c r="J25" s="123"/>
      <c r="K25" s="123"/>
      <c r="L25" s="123"/>
      <c r="M25" s="123"/>
      <c r="N25" s="124"/>
      <c r="O25" s="15"/>
    </row>
  </sheetData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Drop Down 1">
              <controlPr defaultSize="0" autoLine="0" autoPict="0" macro="[2]!AddExistingDim">
                <anchor moveWithCells="1">
                  <from>
                    <xdr:col>0</xdr:col>
                    <xdr:colOff>104775</xdr:colOff>
                    <xdr:row>2</xdr:row>
                    <xdr:rowOff>133350</xdr:rowOff>
                  </from>
                  <to>
                    <xdr:col>0</xdr:col>
                    <xdr:colOff>2457450</xdr:colOff>
                    <xdr:row>2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5" tint="0.79998168889431442"/>
  </sheetPr>
  <dimension ref="A2:AE26"/>
  <sheetViews>
    <sheetView showGridLines="0" topLeftCell="A14" workbookViewId="0">
      <selection activeCell="A20" sqref="A20"/>
    </sheetView>
  </sheetViews>
  <sheetFormatPr defaultRowHeight="15" x14ac:dyDescent="0.25"/>
  <cols>
    <col min="1" max="1" width="41.140625" customWidth="1"/>
    <col min="2" max="3" width="4.42578125" bestFit="1" customWidth="1"/>
    <col min="4" max="4" width="4.28515625" bestFit="1" customWidth="1"/>
    <col min="5" max="15" width="4.42578125" bestFit="1" customWidth="1"/>
  </cols>
  <sheetData>
    <row r="2" spans="1:31" x14ac:dyDescent="0.25">
      <c r="A2" s="147" t="s">
        <v>410</v>
      </c>
    </row>
    <row r="3" spans="1:31" s="30" customFormat="1" ht="111" customHeight="1" x14ac:dyDescent="0.25">
      <c r="A3" s="101" t="s">
        <v>0</v>
      </c>
      <c r="B3" s="104" t="s">
        <v>1</v>
      </c>
      <c r="C3" s="104" t="s">
        <v>2</v>
      </c>
      <c r="D3" s="105" t="s">
        <v>129</v>
      </c>
      <c r="E3" s="104" t="s">
        <v>130</v>
      </c>
      <c r="F3" s="106" t="s">
        <v>148</v>
      </c>
      <c r="G3" s="107" t="s">
        <v>131</v>
      </c>
      <c r="H3" s="108" t="s">
        <v>149</v>
      </c>
      <c r="I3" s="107" t="s">
        <v>135</v>
      </c>
      <c r="J3" s="109"/>
      <c r="K3" s="109"/>
      <c r="L3" s="109"/>
      <c r="M3" s="109"/>
      <c r="N3" s="109"/>
      <c r="O3" s="29"/>
      <c r="P3" s="125" t="s">
        <v>150</v>
      </c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7"/>
      <c r="AB3" s="127"/>
      <c r="AC3" s="127"/>
      <c r="AD3" s="127"/>
      <c r="AE3" s="127"/>
    </row>
    <row r="4" spans="1:31" x14ac:dyDescent="0.25">
      <c r="A4" s="25" t="s">
        <v>151</v>
      </c>
      <c r="B4" s="5" t="s">
        <v>5</v>
      </c>
      <c r="C4" s="5"/>
      <c r="D4" s="5"/>
      <c r="E4" s="5"/>
      <c r="F4" s="5" t="s">
        <v>5</v>
      </c>
      <c r="G4" s="5" t="s">
        <v>5</v>
      </c>
      <c r="H4" s="5" t="s">
        <v>5</v>
      </c>
      <c r="I4" s="5" t="s">
        <v>5</v>
      </c>
      <c r="J4" s="5"/>
      <c r="K4" s="5"/>
      <c r="L4" s="5"/>
      <c r="M4" s="5"/>
      <c r="N4" s="5"/>
      <c r="O4" s="5"/>
      <c r="P4" s="5" t="s">
        <v>152</v>
      </c>
      <c r="Q4" s="15"/>
      <c r="R4" s="67"/>
      <c r="S4" s="67"/>
      <c r="T4" s="67"/>
      <c r="U4" s="67"/>
      <c r="V4" s="67"/>
      <c r="W4" s="67"/>
      <c r="X4" s="15"/>
      <c r="Y4" s="15"/>
      <c r="Z4" s="15"/>
      <c r="AA4" s="58"/>
      <c r="AB4" s="58"/>
      <c r="AC4" s="58"/>
      <c r="AD4" s="58"/>
      <c r="AE4" s="58"/>
    </row>
    <row r="5" spans="1:31" x14ac:dyDescent="0.25">
      <c r="A5" s="25" t="s">
        <v>153</v>
      </c>
      <c r="B5" s="5" t="s">
        <v>5</v>
      </c>
      <c r="C5" s="5"/>
      <c r="D5" s="5"/>
      <c r="E5" s="5"/>
      <c r="F5" s="5" t="s">
        <v>5</v>
      </c>
      <c r="G5" s="5" t="s">
        <v>5</v>
      </c>
      <c r="H5" s="5" t="s">
        <v>5</v>
      </c>
      <c r="I5" s="5" t="s">
        <v>5</v>
      </c>
      <c r="J5" s="5"/>
      <c r="K5" s="5"/>
      <c r="L5" s="5"/>
      <c r="M5" s="5"/>
      <c r="N5" s="5"/>
      <c r="O5" s="5"/>
      <c r="P5" s="5" t="s">
        <v>152</v>
      </c>
      <c r="Q5" s="15"/>
      <c r="R5" s="67"/>
      <c r="S5" s="67"/>
      <c r="T5" s="67"/>
      <c r="U5" s="67"/>
      <c r="V5" s="67"/>
      <c r="W5" s="67"/>
      <c r="X5" s="15"/>
      <c r="Y5" s="15"/>
      <c r="Z5" s="15"/>
      <c r="AA5" s="58"/>
      <c r="AB5" s="58"/>
      <c r="AC5" s="58"/>
      <c r="AD5" s="58"/>
      <c r="AE5" s="58"/>
    </row>
    <row r="6" spans="1:31" x14ac:dyDescent="0.25">
      <c r="A6" s="18" t="s">
        <v>154</v>
      </c>
      <c r="B6" s="27" t="s">
        <v>5</v>
      </c>
      <c r="C6" s="27" t="s">
        <v>5</v>
      </c>
      <c r="D6" s="27" t="s">
        <v>5</v>
      </c>
      <c r="E6" s="27" t="s">
        <v>5</v>
      </c>
      <c r="F6" s="27"/>
      <c r="G6" s="27" t="s">
        <v>5</v>
      </c>
      <c r="H6" s="27" t="s">
        <v>5</v>
      </c>
      <c r="I6" s="27" t="s">
        <v>5</v>
      </c>
      <c r="J6" s="18"/>
      <c r="K6" s="18"/>
      <c r="L6" s="18"/>
      <c r="M6" s="18"/>
      <c r="N6" s="18"/>
      <c r="O6" s="18"/>
      <c r="P6" s="27" t="s">
        <v>155</v>
      </c>
      <c r="Q6" s="58"/>
      <c r="R6" s="58"/>
      <c r="S6" s="58"/>
      <c r="T6" s="58"/>
      <c r="U6" s="58"/>
      <c r="V6" s="58"/>
      <c r="W6" s="58"/>
      <c r="X6" s="58"/>
      <c r="Y6" s="58"/>
      <c r="Z6" s="58"/>
      <c r="AA6" s="58"/>
      <c r="AB6" s="58"/>
      <c r="AC6" s="58"/>
      <c r="AD6" s="58"/>
      <c r="AE6" s="58"/>
    </row>
    <row r="7" spans="1:31" x14ac:dyDescent="0.25">
      <c r="A7" s="18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</row>
    <row r="8" spans="1:31" x14ac:dyDescent="0.25">
      <c r="A8" s="58"/>
      <c r="B8" s="58"/>
      <c r="C8" s="58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  <c r="X8" s="58"/>
      <c r="Y8" s="58"/>
      <c r="Z8" s="58"/>
      <c r="AA8" s="58"/>
      <c r="AB8" s="58"/>
      <c r="AC8" s="58"/>
      <c r="AD8" s="58"/>
      <c r="AE8" s="58"/>
    </row>
    <row r="9" spans="1:31" x14ac:dyDescent="0.25">
      <c r="A9" s="58"/>
      <c r="B9" s="58"/>
      <c r="C9" s="58"/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</row>
    <row r="10" spans="1:31" x14ac:dyDescent="0.25">
      <c r="A10" s="58"/>
      <c r="B10" s="58"/>
      <c r="C10" s="58"/>
      <c r="D10" s="58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</row>
    <row r="11" spans="1:31" x14ac:dyDescent="0.25">
      <c r="A11" s="58"/>
      <c r="B11" s="58"/>
      <c r="C11" s="58"/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</row>
    <row r="12" spans="1:31" x14ac:dyDescent="0.25"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58"/>
      <c r="AC12" s="58"/>
      <c r="AD12" s="58"/>
      <c r="AE12" s="58"/>
    </row>
    <row r="13" spans="1:31" x14ac:dyDescent="0.25">
      <c r="P13" s="58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</row>
    <row r="16" spans="1:31" ht="105.75" thickBot="1" x14ac:dyDescent="0.3">
      <c r="A16" s="112" t="s">
        <v>3</v>
      </c>
      <c r="B16" s="113" t="str">
        <f>A4</f>
        <v xml:space="preserve">Airtime Stock Movement </v>
      </c>
      <c r="C16" s="113" t="str">
        <f>A5</f>
        <v>Airtime Stock On Hand Snapshot</v>
      </c>
      <c r="D16" s="113" t="str">
        <f>A6</f>
        <v>Airtime Transactions</v>
      </c>
      <c r="E16" s="114"/>
      <c r="F16" s="114"/>
      <c r="G16" s="114"/>
      <c r="H16" s="114"/>
      <c r="I16" s="114"/>
      <c r="J16" s="115"/>
      <c r="K16" s="115"/>
      <c r="L16" s="115"/>
      <c r="M16" s="115"/>
      <c r="N16" s="115"/>
    </row>
    <row r="17" spans="1:14" x14ac:dyDescent="0.25">
      <c r="A17" s="128" t="s">
        <v>139</v>
      </c>
      <c r="B17" s="129"/>
      <c r="C17" s="129"/>
      <c r="D17" s="129" t="s">
        <v>5</v>
      </c>
      <c r="E17" s="130"/>
      <c r="F17" s="130"/>
      <c r="G17" s="129"/>
      <c r="H17" s="129"/>
      <c r="I17" s="130"/>
      <c r="J17" s="130"/>
      <c r="K17" s="130"/>
      <c r="L17" s="130"/>
      <c r="M17" s="130"/>
      <c r="N17" s="131"/>
    </row>
    <row r="18" spans="1:14" x14ac:dyDescent="0.25">
      <c r="A18" s="132" t="s">
        <v>140</v>
      </c>
      <c r="B18" s="133"/>
      <c r="C18" s="133"/>
      <c r="D18" s="133" t="s">
        <v>5</v>
      </c>
      <c r="E18" s="18"/>
      <c r="F18" s="18"/>
      <c r="G18" s="133"/>
      <c r="H18" s="133"/>
      <c r="I18" s="18"/>
      <c r="J18" s="18"/>
      <c r="K18" s="18"/>
      <c r="L18" s="18"/>
      <c r="M18" s="18"/>
      <c r="N18" s="134"/>
    </row>
    <row r="19" spans="1:14" x14ac:dyDescent="0.25">
      <c r="A19" s="132" t="s">
        <v>156</v>
      </c>
      <c r="B19" s="133" t="s">
        <v>5</v>
      </c>
      <c r="C19" s="133"/>
      <c r="D19" s="133"/>
      <c r="E19" s="18"/>
      <c r="F19" s="18"/>
      <c r="G19" s="133"/>
      <c r="H19" s="133"/>
      <c r="I19" s="18"/>
      <c r="J19" s="18"/>
      <c r="K19" s="18"/>
      <c r="L19" s="18"/>
      <c r="M19" s="18"/>
      <c r="N19" s="134"/>
    </row>
    <row r="20" spans="1:14" x14ac:dyDescent="0.25">
      <c r="A20" s="135" t="s">
        <v>157</v>
      </c>
      <c r="B20" s="133"/>
      <c r="C20" s="133" t="s">
        <v>5</v>
      </c>
      <c r="D20" s="133"/>
      <c r="E20" s="18"/>
      <c r="F20" s="18"/>
      <c r="G20" s="133"/>
      <c r="H20" s="133"/>
      <c r="I20" s="18"/>
      <c r="J20" s="18"/>
      <c r="K20" s="18"/>
      <c r="L20" s="18"/>
      <c r="M20" s="18"/>
      <c r="N20" s="134"/>
    </row>
    <row r="21" spans="1:14" x14ac:dyDescent="0.25">
      <c r="A21" s="132"/>
      <c r="B21" s="133"/>
      <c r="C21" s="133"/>
      <c r="D21" s="133"/>
      <c r="E21" s="18"/>
      <c r="F21" s="18"/>
      <c r="G21" s="133"/>
      <c r="H21" s="133"/>
      <c r="I21" s="18"/>
      <c r="J21" s="18"/>
      <c r="K21" s="18"/>
      <c r="L21" s="18"/>
      <c r="M21" s="18"/>
      <c r="N21" s="134"/>
    </row>
    <row r="22" spans="1:14" x14ac:dyDescent="0.25">
      <c r="A22" s="136"/>
      <c r="B22" s="133"/>
      <c r="C22" s="133"/>
      <c r="D22" s="133"/>
      <c r="E22" s="18"/>
      <c r="F22" s="18"/>
      <c r="G22" s="133"/>
      <c r="H22" s="133"/>
      <c r="I22" s="18"/>
      <c r="J22" s="18"/>
      <c r="K22" s="18"/>
      <c r="L22" s="18"/>
      <c r="M22" s="18"/>
      <c r="N22" s="134"/>
    </row>
    <row r="23" spans="1:14" x14ac:dyDescent="0.25">
      <c r="A23" s="136"/>
      <c r="B23" s="133"/>
      <c r="C23" s="133"/>
      <c r="D23" s="133"/>
      <c r="E23" s="18"/>
      <c r="F23" s="18"/>
      <c r="G23" s="133"/>
      <c r="H23" s="133"/>
      <c r="I23" s="18"/>
      <c r="J23" s="18"/>
      <c r="K23" s="18"/>
      <c r="L23" s="18"/>
      <c r="M23" s="18"/>
      <c r="N23" s="134"/>
    </row>
    <row r="24" spans="1:14" x14ac:dyDescent="0.25">
      <c r="A24" s="136"/>
      <c r="B24" s="133"/>
      <c r="C24" s="133"/>
      <c r="D24" s="133"/>
      <c r="E24" s="18"/>
      <c r="F24" s="18"/>
      <c r="G24" s="133"/>
      <c r="H24" s="133"/>
      <c r="I24" s="18"/>
      <c r="J24" s="18"/>
      <c r="K24" s="18"/>
      <c r="L24" s="18"/>
      <c r="M24" s="18"/>
      <c r="N24" s="134"/>
    </row>
    <row r="25" spans="1:14" x14ac:dyDescent="0.25">
      <c r="A25" s="136"/>
      <c r="B25" s="133"/>
      <c r="C25" s="133"/>
      <c r="D25" s="133"/>
      <c r="E25" s="18"/>
      <c r="F25" s="18"/>
      <c r="G25" s="133"/>
      <c r="H25" s="133"/>
      <c r="I25" s="18"/>
      <c r="J25" s="18"/>
      <c r="K25" s="18"/>
      <c r="L25" s="18"/>
      <c r="M25" s="18"/>
      <c r="N25" s="134"/>
    </row>
    <row r="26" spans="1:14" ht="15.75" thickBot="1" x14ac:dyDescent="0.3">
      <c r="A26" s="137"/>
      <c r="B26" s="138"/>
      <c r="C26" s="138"/>
      <c r="D26" s="138"/>
      <c r="E26" s="122"/>
      <c r="F26" s="122"/>
      <c r="G26" s="138"/>
      <c r="H26" s="139"/>
      <c r="I26" s="122"/>
      <c r="J26" s="122"/>
      <c r="K26" s="122"/>
      <c r="L26" s="122"/>
      <c r="M26" s="122"/>
      <c r="N26" s="140"/>
    </row>
  </sheetData>
  <pageMargins left="0.7" right="0.7" top="0.75" bottom="0.75" header="0.3" footer="0.3"/>
  <pageSetup orientation="portrait" horizontalDpi="4294967295" verticalDpi="4294967295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 tint="0.79998168889431442"/>
  </sheetPr>
  <dimension ref="A1:AF60"/>
  <sheetViews>
    <sheetView showGridLines="0" topLeftCell="A10" zoomScaleNormal="100" workbookViewId="0">
      <selection activeCell="A24" sqref="A24"/>
    </sheetView>
  </sheetViews>
  <sheetFormatPr defaultRowHeight="15" x14ac:dyDescent="0.25"/>
  <cols>
    <col min="1" max="1" width="39.85546875" style="20" bestFit="1" customWidth="1"/>
    <col min="2" max="3" width="3.42578125" bestFit="1" customWidth="1"/>
    <col min="4" max="5" width="3.5703125" bestFit="1" customWidth="1"/>
    <col min="6" max="6" width="4" bestFit="1" customWidth="1"/>
    <col min="7" max="8" width="3.42578125" bestFit="1" customWidth="1"/>
    <col min="9" max="9" width="3.5703125" bestFit="1" customWidth="1"/>
    <col min="10" max="12" width="3.42578125" bestFit="1" customWidth="1"/>
    <col min="13" max="13" width="3.42578125" customWidth="1"/>
    <col min="14" max="14" width="3.42578125" bestFit="1" customWidth="1"/>
    <col min="15" max="15" width="3.42578125" customWidth="1"/>
    <col min="16" max="16" width="7" bestFit="1" customWidth="1"/>
    <col min="17" max="17" width="4" bestFit="1" customWidth="1"/>
    <col min="18" max="26" width="3.42578125" bestFit="1" customWidth="1"/>
    <col min="27" max="27" width="58" customWidth="1"/>
    <col min="32" max="32" width="16.85546875" bestFit="1" customWidth="1"/>
  </cols>
  <sheetData>
    <row r="1" spans="1:32" s="1" customFormat="1" x14ac:dyDescent="0.25">
      <c r="A1" s="147" t="s">
        <v>410</v>
      </c>
    </row>
    <row r="2" spans="1:32" s="4" customFormat="1" x14ac:dyDescent="0.25">
      <c r="A2" s="101"/>
      <c r="B2" s="102"/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  <c r="Q2" s="102"/>
      <c r="R2" s="102"/>
      <c r="S2" s="102"/>
      <c r="T2" s="102"/>
      <c r="U2" s="102"/>
      <c r="V2" s="102"/>
      <c r="W2" s="102"/>
      <c r="X2" s="102"/>
      <c r="Y2" s="102"/>
      <c r="Z2" s="102"/>
    </row>
    <row r="3" spans="1:32" s="30" customFormat="1" ht="105.75" customHeight="1" x14ac:dyDescent="0.25">
      <c r="A3" s="28" t="s">
        <v>0</v>
      </c>
      <c r="B3" s="44" t="s">
        <v>1</v>
      </c>
      <c r="C3" s="44" t="s">
        <v>2</v>
      </c>
      <c r="D3" s="44" t="s">
        <v>131</v>
      </c>
      <c r="E3" s="44" t="s">
        <v>133</v>
      </c>
      <c r="F3" s="48" t="s">
        <v>158</v>
      </c>
      <c r="G3" s="44" t="s">
        <v>159</v>
      </c>
      <c r="H3" s="44" t="s">
        <v>160</v>
      </c>
      <c r="I3" s="44" t="s">
        <v>161</v>
      </c>
      <c r="J3" s="44" t="s">
        <v>162</v>
      </c>
      <c r="K3" s="44" t="s">
        <v>134</v>
      </c>
      <c r="L3" s="44" t="s">
        <v>135</v>
      </c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</row>
    <row r="4" spans="1:32" s="4" customFormat="1" x14ac:dyDescent="0.25">
      <c r="A4" s="25" t="s">
        <v>163</v>
      </c>
      <c r="B4" s="5" t="s">
        <v>5</v>
      </c>
      <c r="C4" s="5" t="s">
        <v>5</v>
      </c>
      <c r="D4" s="5" t="s">
        <v>5</v>
      </c>
      <c r="E4" s="5" t="s">
        <v>5</v>
      </c>
      <c r="F4" s="5" t="s">
        <v>5</v>
      </c>
      <c r="G4" s="5" t="s">
        <v>5</v>
      </c>
      <c r="H4" s="5" t="s">
        <v>5</v>
      </c>
      <c r="I4" s="5" t="s">
        <v>5</v>
      </c>
      <c r="J4" s="5" t="s">
        <v>5</v>
      </c>
      <c r="K4" s="5" t="s">
        <v>5</v>
      </c>
      <c r="L4" s="5" t="s">
        <v>5</v>
      </c>
      <c r="M4" s="49"/>
      <c r="N4" s="49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s="4" customFormat="1" x14ac:dyDescent="0.2">
      <c r="A5" s="25" t="s">
        <v>164</v>
      </c>
      <c r="B5" s="5" t="s">
        <v>5</v>
      </c>
      <c r="C5" s="5"/>
      <c r="D5" s="5" t="s">
        <v>5</v>
      </c>
      <c r="E5" s="5"/>
      <c r="F5" s="5"/>
      <c r="G5" s="5"/>
      <c r="H5" s="5"/>
      <c r="I5" s="5"/>
      <c r="J5" s="5" t="s">
        <v>5</v>
      </c>
      <c r="K5" s="5" t="s">
        <v>5</v>
      </c>
      <c r="L5" s="5" t="s">
        <v>5</v>
      </c>
      <c r="M5" s="49"/>
      <c r="N5" s="49"/>
      <c r="O5" s="5"/>
      <c r="P5" s="5"/>
      <c r="Q5" s="3"/>
      <c r="R5" s="3"/>
      <c r="S5" s="3"/>
      <c r="T5" s="3"/>
      <c r="U5" s="3"/>
      <c r="V5" s="3"/>
      <c r="W5" s="3"/>
      <c r="X5" s="3"/>
      <c r="Y5" s="3"/>
      <c r="Z5" s="3"/>
      <c r="AA5" s="16"/>
    </row>
    <row r="6" spans="1:32" x14ac:dyDescent="0.25">
      <c r="A6" s="2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21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</row>
    <row r="8" spans="1:32" x14ac:dyDescent="0.25">
      <c r="A8" s="2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25">
      <c r="A9" s="2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6"/>
      <c r="S9" s="6"/>
      <c r="T9" s="6"/>
      <c r="U9" s="6"/>
      <c r="V9" s="6"/>
      <c r="W9" s="6"/>
      <c r="X9" s="5"/>
      <c r="Y9" s="5"/>
      <c r="Z9" s="5"/>
    </row>
    <row r="10" spans="1:32" x14ac:dyDescent="0.25">
      <c r="A10" s="2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6"/>
      <c r="S10" s="6"/>
      <c r="T10" s="6"/>
      <c r="U10" s="6"/>
      <c r="V10" s="6"/>
      <c r="W10" s="6"/>
      <c r="X10" s="5"/>
      <c r="Y10" s="5"/>
      <c r="Z10" s="5"/>
    </row>
    <row r="11" spans="1:32" x14ac:dyDescent="0.25">
      <c r="A11" s="2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F11" s="7"/>
    </row>
    <row r="12" spans="1:32" x14ac:dyDescent="0.25">
      <c r="A12" s="2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</row>
    <row r="13" spans="1:32" x14ac:dyDescent="0.25">
      <c r="A13" s="2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</row>
    <row r="14" spans="1:32" x14ac:dyDescent="0.25">
      <c r="A14" s="2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25">
      <c r="A15" s="2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s="36" customFormat="1" ht="75.75" x14ac:dyDescent="0.2">
      <c r="A17" s="31" t="s">
        <v>3</v>
      </c>
      <c r="B17" s="141" t="str">
        <f>A4</f>
        <v>ProcessTransaction</v>
      </c>
      <c r="C17" s="114" t="str">
        <f>A5</f>
        <v>UserMonthlySnapshot</v>
      </c>
      <c r="D17" s="114"/>
      <c r="E17" s="32"/>
      <c r="F17" s="32"/>
      <c r="G17" s="32"/>
      <c r="H17" s="32"/>
      <c r="I17" s="32"/>
      <c r="J17" s="32"/>
      <c r="K17" s="33"/>
      <c r="L17" s="33"/>
      <c r="M17" s="33"/>
      <c r="N17" s="33"/>
      <c r="O17" s="34"/>
      <c r="P17" s="35"/>
    </row>
    <row r="18" spans="1:16" x14ac:dyDescent="0.25">
      <c r="A18" s="22" t="s">
        <v>165</v>
      </c>
      <c r="B18" s="133" t="s">
        <v>5</v>
      </c>
      <c r="C18" s="18"/>
      <c r="D18" s="18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  <row r="19" spans="1:16" x14ac:dyDescent="0.25">
      <c r="A19" s="21" t="s">
        <v>166</v>
      </c>
      <c r="B19" s="5" t="s">
        <v>5</v>
      </c>
      <c r="C19" s="5" t="s">
        <v>5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15"/>
    </row>
    <row r="20" spans="1:16" x14ac:dyDescent="0.25">
      <c r="A20" s="21" t="s">
        <v>167</v>
      </c>
      <c r="B20" s="5" t="s">
        <v>5</v>
      </c>
      <c r="C20" s="5" t="s">
        <v>5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15"/>
    </row>
    <row r="21" spans="1:16" x14ac:dyDescent="0.25">
      <c r="A21" s="142" t="s">
        <v>423</v>
      </c>
      <c r="B21" s="5"/>
      <c r="C21" s="5" t="s">
        <v>5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15"/>
    </row>
    <row r="22" spans="1:16" x14ac:dyDescent="0.25">
      <c r="A22" s="143" t="s">
        <v>424</v>
      </c>
      <c r="B22" s="5"/>
      <c r="C22" s="5" t="s">
        <v>5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15"/>
    </row>
    <row r="23" spans="1:16" x14ac:dyDescent="0.25">
      <c r="A23" s="143" t="s">
        <v>425</v>
      </c>
      <c r="B23" s="5"/>
      <c r="C23" s="5" t="s">
        <v>5</v>
      </c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5"/>
    </row>
    <row r="24" spans="1:16" x14ac:dyDescent="0.25">
      <c r="A24" s="143" t="s">
        <v>426</v>
      </c>
      <c r="B24" s="5"/>
      <c r="C24" s="27" t="s">
        <v>5</v>
      </c>
      <c r="D24" s="27"/>
      <c r="E24" s="5"/>
      <c r="F24" s="5"/>
      <c r="G24" s="5"/>
      <c r="H24" s="5"/>
      <c r="I24" s="5"/>
      <c r="J24" s="5"/>
      <c r="K24" s="5"/>
      <c r="L24" s="5"/>
      <c r="M24" s="5"/>
      <c r="N24" s="5"/>
      <c r="O24" s="15"/>
    </row>
    <row r="25" spans="1:16" x14ac:dyDescent="0.25">
      <c r="A25" s="22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15"/>
    </row>
    <row r="26" spans="1:16" x14ac:dyDescent="0.25">
      <c r="A26" s="22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15"/>
    </row>
    <row r="27" spans="1:16" x14ac:dyDescent="0.25">
      <c r="A27" s="22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15"/>
    </row>
    <row r="28" spans="1:16" x14ac:dyDescent="0.25">
      <c r="A28" s="23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15"/>
    </row>
    <row r="29" spans="1:16" x14ac:dyDescent="0.25">
      <c r="A29" s="26"/>
      <c r="B29" s="27"/>
      <c r="C29" s="27"/>
      <c r="D29" s="27"/>
      <c r="E29" s="27"/>
      <c r="F29" s="27"/>
      <c r="G29" s="27"/>
      <c r="H29" s="27"/>
      <c r="I29" s="27"/>
      <c r="J29" s="18"/>
      <c r="K29" s="18"/>
      <c r="L29" s="18"/>
      <c r="M29" s="18"/>
      <c r="N29" s="18"/>
    </row>
    <row r="30" spans="1:16" x14ac:dyDescent="0.25">
      <c r="A30" s="26"/>
      <c r="B30" s="27"/>
      <c r="C30" s="27"/>
      <c r="D30" s="27"/>
      <c r="E30" s="27"/>
      <c r="F30" s="27"/>
      <c r="G30" s="27"/>
      <c r="H30" s="27"/>
      <c r="I30" s="27"/>
      <c r="J30" s="18"/>
      <c r="K30" s="18"/>
      <c r="L30" s="18"/>
      <c r="M30" s="18"/>
      <c r="N30" s="18"/>
    </row>
    <row r="31" spans="1:16" x14ac:dyDescent="0.25">
      <c r="A31" s="26"/>
      <c r="B31" s="27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</row>
    <row r="32" spans="1:16" x14ac:dyDescent="0.25">
      <c r="A32" s="26"/>
      <c r="B32" s="27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</row>
    <row r="33" spans="1:14" x14ac:dyDescent="0.25">
      <c r="A33" s="24"/>
    </row>
    <row r="34" spans="1:14" x14ac:dyDescent="0.25">
      <c r="A34" s="23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</row>
    <row r="35" spans="1:14" x14ac:dyDescent="0.25">
      <c r="A35" s="23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</row>
    <row r="36" spans="1:14" x14ac:dyDescent="0.25">
      <c r="A36" s="23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</row>
    <row r="37" spans="1:14" x14ac:dyDescent="0.25">
      <c r="A37" s="23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</row>
    <row r="38" spans="1:14" x14ac:dyDescent="0.25">
      <c r="A38" s="23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</row>
    <row r="39" spans="1:14" x14ac:dyDescent="0.25">
      <c r="A39" s="23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</row>
    <row r="40" spans="1:14" x14ac:dyDescent="0.25">
      <c r="A40" s="23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</row>
    <row r="41" spans="1:14" x14ac:dyDescent="0.25">
      <c r="A41" s="23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</row>
    <row r="42" spans="1:14" x14ac:dyDescent="0.25">
      <c r="A42" s="23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</row>
    <row r="43" spans="1:14" x14ac:dyDescent="0.25">
      <c r="A43" s="23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</row>
    <row r="44" spans="1:14" x14ac:dyDescent="0.25">
      <c r="A44" s="23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</row>
    <row r="45" spans="1:14" x14ac:dyDescent="0.25">
      <c r="A45" s="23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</row>
    <row r="46" spans="1:14" x14ac:dyDescent="0.25">
      <c r="A46" s="23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</row>
    <row r="47" spans="1:14" x14ac:dyDescent="0.25">
      <c r="A47" s="23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</row>
    <row r="48" spans="1:14" x14ac:dyDescent="0.25">
      <c r="A48" s="23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</row>
    <row r="49" spans="1:14" x14ac:dyDescent="0.25">
      <c r="A49" s="23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</row>
    <row r="50" spans="1:14" x14ac:dyDescent="0.25">
      <c r="A50" s="23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</row>
    <row r="51" spans="1:14" x14ac:dyDescent="0.25">
      <c r="A51" s="23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</row>
    <row r="52" spans="1:14" x14ac:dyDescent="0.25">
      <c r="A52" s="23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</row>
    <row r="53" spans="1:14" x14ac:dyDescent="0.25">
      <c r="A53" s="23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</row>
    <row r="54" spans="1:14" x14ac:dyDescent="0.25">
      <c r="A54" s="23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</row>
    <row r="55" spans="1:14" x14ac:dyDescent="0.25">
      <c r="A55" s="23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</row>
    <row r="56" spans="1:14" x14ac:dyDescent="0.25">
      <c r="A56" s="23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</row>
    <row r="57" spans="1:14" x14ac:dyDescent="0.25">
      <c r="A57" s="23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</row>
    <row r="58" spans="1:14" x14ac:dyDescent="0.25">
      <c r="A58" s="23"/>
    </row>
    <row r="59" spans="1:14" x14ac:dyDescent="0.25">
      <c r="A59" s="23"/>
    </row>
    <row r="60" spans="1:14" x14ac:dyDescent="0.25">
      <c r="A60" s="23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31"/>
  <sheetViews>
    <sheetView showGridLines="0" topLeftCell="E1" workbookViewId="0">
      <selection activeCell="W13" sqref="W13"/>
    </sheetView>
  </sheetViews>
  <sheetFormatPr defaultRowHeight="15" x14ac:dyDescent="0.25"/>
  <cols>
    <col min="1" max="1" width="24.42578125" style="16" bestFit="1" customWidth="1"/>
    <col min="2" max="26" width="3.7109375" customWidth="1"/>
    <col min="32" max="32" width="16.85546875" bestFit="1" customWidth="1"/>
  </cols>
  <sheetData>
    <row r="1" spans="1:32" s="1" customFormat="1" ht="11.25" x14ac:dyDescent="0.2"/>
    <row r="2" spans="1:32" s="4" customFormat="1" ht="26.25" customHeight="1" x14ac:dyDescent="0.25">
      <c r="A2" s="2" t="s">
        <v>128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32" s="4" customFormat="1" ht="93" customHeight="1" x14ac:dyDescent="0.25">
      <c r="A3" s="2" t="s">
        <v>0</v>
      </c>
      <c r="B3" s="3" t="s">
        <v>1</v>
      </c>
      <c r="C3" s="3" t="s">
        <v>2</v>
      </c>
      <c r="D3" s="3" t="s">
        <v>168</v>
      </c>
      <c r="E3" s="3" t="s">
        <v>133</v>
      </c>
      <c r="F3" s="3" t="s">
        <v>131</v>
      </c>
      <c r="G3" s="3" t="s">
        <v>130</v>
      </c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 t="s">
        <v>169</v>
      </c>
      <c r="B4" s="5" t="s">
        <v>5</v>
      </c>
      <c r="C4" s="5" t="s">
        <v>5</v>
      </c>
      <c r="D4" s="5" t="s">
        <v>5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 t="s">
        <v>170</v>
      </c>
      <c r="B5" s="5" t="s">
        <v>5</v>
      </c>
      <c r="C5" s="5" t="s">
        <v>5</v>
      </c>
      <c r="D5" s="5"/>
      <c r="E5" s="5" t="s">
        <v>5</v>
      </c>
      <c r="F5" s="5" t="s">
        <v>5</v>
      </c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 t="s">
        <v>171</v>
      </c>
      <c r="B6" s="5" t="s">
        <v>5</v>
      </c>
      <c r="C6" s="5" t="s">
        <v>5</v>
      </c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 t="s">
        <v>172</v>
      </c>
      <c r="B7" s="5" t="s">
        <v>5</v>
      </c>
      <c r="C7" s="5"/>
      <c r="D7" s="5"/>
      <c r="E7" s="5"/>
      <c r="F7" s="5" t="s">
        <v>5</v>
      </c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17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25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25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25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25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25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81" x14ac:dyDescent="0.25">
      <c r="A17" s="8" t="s">
        <v>3</v>
      </c>
      <c r="B17" s="37" t="str">
        <f>A4</f>
        <v>NIBS</v>
      </c>
      <c r="C17" s="32" t="str">
        <f>A5</f>
        <v>FraudulentTransactions</v>
      </c>
      <c r="D17" s="32" t="str">
        <f>A7</f>
        <v>RiskSnapshot</v>
      </c>
      <c r="E17" s="32">
        <f>A8</f>
        <v>0</v>
      </c>
      <c r="F17" s="32">
        <f>A9</f>
        <v>0</v>
      </c>
      <c r="G17" s="32">
        <f>A10</f>
        <v>0</v>
      </c>
      <c r="H17" s="32">
        <f>A11</f>
        <v>0</v>
      </c>
      <c r="I17" s="32">
        <f>A12</f>
        <v>0</v>
      </c>
      <c r="J17" s="32">
        <f>A13</f>
        <v>0</v>
      </c>
      <c r="K17" s="9"/>
      <c r="L17" s="10"/>
      <c r="M17" s="9"/>
      <c r="N17" s="11"/>
      <c r="O17" s="12"/>
      <c r="P17" s="13"/>
    </row>
    <row r="18" spans="1:16" x14ac:dyDescent="0.25">
      <c r="A18" s="14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  <row r="19" spans="1:16" x14ac:dyDescent="0.25">
      <c r="A19" s="1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15"/>
    </row>
    <row r="20" spans="1:16" x14ac:dyDescent="0.25">
      <c r="A20" s="1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15"/>
    </row>
    <row r="21" spans="1:16" x14ac:dyDescent="0.25">
      <c r="A21" s="1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15"/>
    </row>
    <row r="22" spans="1:16" x14ac:dyDescent="0.25">
      <c r="A22" s="1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15"/>
    </row>
    <row r="23" spans="1:16" x14ac:dyDescent="0.25">
      <c r="A23" s="14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5"/>
    </row>
    <row r="24" spans="1:16" x14ac:dyDescent="0.25">
      <c r="A24" s="14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15"/>
    </row>
    <row r="25" spans="1:16" x14ac:dyDescent="0.25">
      <c r="A25" s="14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15"/>
    </row>
    <row r="26" spans="1:16" x14ac:dyDescent="0.25">
      <c r="A26" s="14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15"/>
    </row>
    <row r="27" spans="1:16" x14ac:dyDescent="0.25">
      <c r="A27" s="14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15"/>
    </row>
    <row r="28" spans="1:16" x14ac:dyDescent="0.25">
      <c r="A28" s="14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15"/>
    </row>
    <row r="29" spans="1:16" x14ac:dyDescent="0.25">
      <c r="A29"/>
    </row>
    <row r="30" spans="1:16" x14ac:dyDescent="0.25">
      <c r="A30"/>
    </row>
    <row r="31" spans="1:16" x14ac:dyDescent="0.25">
      <c r="A31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31"/>
  <sheetViews>
    <sheetView showGridLines="0" workbookViewId="0">
      <selection activeCell="W13" sqref="W13"/>
    </sheetView>
  </sheetViews>
  <sheetFormatPr defaultRowHeight="15" x14ac:dyDescent="0.25"/>
  <cols>
    <col min="1" max="1" width="24.42578125" style="16" bestFit="1" customWidth="1"/>
    <col min="2" max="26" width="3.7109375" customWidth="1"/>
    <col min="32" max="32" width="16.85546875" bestFit="1" customWidth="1"/>
  </cols>
  <sheetData>
    <row r="1" spans="1:32" s="1" customFormat="1" ht="11.25" x14ac:dyDescent="0.2"/>
    <row r="2" spans="1:32" s="4" customFormat="1" ht="15.75" x14ac:dyDescent="0.25">
      <c r="A2" s="2" t="s">
        <v>128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32" s="4" customFormat="1" ht="51.6" customHeight="1" x14ac:dyDescent="0.25">
      <c r="A3" s="2" t="s">
        <v>0</v>
      </c>
      <c r="B3" s="3" t="s">
        <v>1</v>
      </c>
      <c r="C3" s="3" t="s">
        <v>2</v>
      </c>
      <c r="D3" s="3" t="s">
        <v>131</v>
      </c>
      <c r="E3" s="3" t="s">
        <v>173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 t="s">
        <v>174</v>
      </c>
      <c r="B4" s="5" t="s">
        <v>5</v>
      </c>
      <c r="C4" s="5"/>
      <c r="D4" s="5" t="s">
        <v>5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 t="s">
        <v>175</v>
      </c>
      <c r="B5" s="5" t="s">
        <v>5</v>
      </c>
      <c r="C5" s="5"/>
      <c r="D5" s="5" t="s">
        <v>5</v>
      </c>
      <c r="E5" s="5" t="s">
        <v>5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17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25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25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25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25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25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59.25" x14ac:dyDescent="0.25">
      <c r="A17" s="8" t="s">
        <v>3</v>
      </c>
      <c r="B17" s="37" t="str">
        <f>A4</f>
        <v>PotentialCallout</v>
      </c>
      <c r="C17" s="33" t="str">
        <f>A5</f>
        <v>Callout</v>
      </c>
      <c r="D17" s="37">
        <f>A6</f>
        <v>0</v>
      </c>
      <c r="E17" s="33">
        <f>A7</f>
        <v>0</v>
      </c>
      <c r="F17" s="37">
        <f>A8</f>
        <v>0</v>
      </c>
      <c r="G17" s="33">
        <f>A9</f>
        <v>0</v>
      </c>
      <c r="H17" s="37">
        <f>A10</f>
        <v>0</v>
      </c>
      <c r="I17" s="33">
        <f>A11</f>
        <v>0</v>
      </c>
      <c r="J17" s="9">
        <f>A12</f>
        <v>0</v>
      </c>
      <c r="K17" s="19">
        <f>A13</f>
        <v>0</v>
      </c>
      <c r="L17" s="9">
        <f>A13</f>
        <v>0</v>
      </c>
      <c r="M17" s="19"/>
      <c r="N17" s="19"/>
      <c r="O17" s="12"/>
      <c r="P17" s="13"/>
    </row>
    <row r="18" spans="1:16" x14ac:dyDescent="0.25">
      <c r="A18" s="14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  <row r="19" spans="1:16" x14ac:dyDescent="0.25">
      <c r="A19" s="1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15"/>
    </row>
    <row r="20" spans="1:16" x14ac:dyDescent="0.25">
      <c r="A20" s="1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15"/>
    </row>
    <row r="21" spans="1:16" x14ac:dyDescent="0.25">
      <c r="A21" s="1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15"/>
    </row>
    <row r="22" spans="1:16" x14ac:dyDescent="0.25">
      <c r="A22" s="1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15"/>
    </row>
    <row r="23" spans="1:16" x14ac:dyDescent="0.25">
      <c r="A23" s="14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5"/>
    </row>
    <row r="24" spans="1:16" x14ac:dyDescent="0.25">
      <c r="A24" s="14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15"/>
    </row>
    <row r="25" spans="1:16" x14ac:dyDescent="0.25">
      <c r="A25" s="14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15"/>
    </row>
    <row r="26" spans="1:16" x14ac:dyDescent="0.25">
      <c r="A26" s="14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15"/>
    </row>
    <row r="27" spans="1:16" x14ac:dyDescent="0.25">
      <c r="A27" s="14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15"/>
    </row>
    <row r="28" spans="1:16" x14ac:dyDescent="0.25">
      <c r="A28" s="14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15"/>
    </row>
    <row r="29" spans="1:16" x14ac:dyDescent="0.25">
      <c r="A29"/>
    </row>
    <row r="30" spans="1:16" x14ac:dyDescent="0.25">
      <c r="A30"/>
    </row>
    <row r="31" spans="1:16" x14ac:dyDescent="0.25">
      <c r="A31"/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F55"/>
  <sheetViews>
    <sheetView showGridLines="0" workbookViewId="0">
      <selection activeCell="AD11" sqref="AD11"/>
    </sheetView>
  </sheetViews>
  <sheetFormatPr defaultRowHeight="15" x14ac:dyDescent="0.25"/>
  <cols>
    <col min="1" max="1" width="24.42578125" style="16" bestFit="1" customWidth="1"/>
    <col min="2" max="26" width="3.7109375" customWidth="1"/>
    <col min="32" max="32" width="16.85546875" bestFit="1" customWidth="1"/>
  </cols>
  <sheetData>
    <row r="1" spans="1:32" s="1" customFormat="1" ht="11.25" x14ac:dyDescent="0.2"/>
    <row r="2" spans="1:32" s="4" customFormat="1" ht="26.25" customHeight="1" x14ac:dyDescent="0.25">
      <c r="A2" s="2" t="s">
        <v>128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32" s="4" customFormat="1" ht="66" customHeight="1" x14ac:dyDescent="0.25">
      <c r="A3" s="2" t="s">
        <v>0</v>
      </c>
      <c r="B3" s="3" t="s">
        <v>1</v>
      </c>
      <c r="C3" s="3" t="s">
        <v>2</v>
      </c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17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25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25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25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25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25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16.5" x14ac:dyDescent="0.25">
      <c r="A17" s="8" t="s">
        <v>3</v>
      </c>
      <c r="B17" s="37">
        <f>A4</f>
        <v>0</v>
      </c>
      <c r="C17" s="32">
        <f>A5</f>
        <v>0</v>
      </c>
      <c r="D17" s="37">
        <f>A6</f>
        <v>0</v>
      </c>
      <c r="E17" s="32">
        <f>A7</f>
        <v>0</v>
      </c>
      <c r="F17" s="32">
        <f>A8</f>
        <v>0</v>
      </c>
      <c r="G17" s="32">
        <f>A9</f>
        <v>0</v>
      </c>
      <c r="H17" s="32">
        <f>A10</f>
        <v>0</v>
      </c>
      <c r="I17" s="32">
        <f>A11</f>
        <v>0</v>
      </c>
      <c r="J17" s="10">
        <f>A12</f>
        <v>0</v>
      </c>
      <c r="K17" s="9">
        <f>A13</f>
        <v>0</v>
      </c>
      <c r="L17" s="10">
        <f>A13</f>
        <v>0</v>
      </c>
      <c r="M17" s="9"/>
      <c r="N17" s="11"/>
      <c r="O17" s="12"/>
      <c r="P17" s="13"/>
    </row>
    <row r="18" spans="1:16" x14ac:dyDescent="0.25">
      <c r="A18" s="21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  <row r="19" spans="1:16" x14ac:dyDescent="0.25">
      <c r="A19" s="21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15"/>
    </row>
    <row r="20" spans="1:16" x14ac:dyDescent="0.25">
      <c r="A20" s="21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15"/>
    </row>
    <row r="21" spans="1:16" x14ac:dyDescent="0.25">
      <c r="A21" s="21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15"/>
    </row>
    <row r="22" spans="1:16" x14ac:dyDescent="0.25">
      <c r="A22" s="21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15"/>
    </row>
    <row r="23" spans="1:16" x14ac:dyDescent="0.25">
      <c r="A23" s="21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5"/>
    </row>
    <row r="24" spans="1:16" x14ac:dyDescent="0.25">
      <c r="A24" s="22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15"/>
    </row>
    <row r="25" spans="1:16" x14ac:dyDescent="0.25">
      <c r="A25" s="22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15"/>
    </row>
    <row r="26" spans="1:16" x14ac:dyDescent="0.25">
      <c r="A26" s="22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15"/>
    </row>
    <row r="27" spans="1:16" x14ac:dyDescent="0.25">
      <c r="A27" s="22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15"/>
    </row>
    <row r="28" spans="1:16" x14ac:dyDescent="0.25">
      <c r="A28" s="22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15"/>
    </row>
    <row r="29" spans="1:16" x14ac:dyDescent="0.25">
      <c r="A29" s="23"/>
      <c r="B29" s="5"/>
      <c r="C29" s="5"/>
    </row>
    <row r="30" spans="1:16" x14ac:dyDescent="0.25">
      <c r="A30" s="26"/>
      <c r="B30" s="27"/>
      <c r="C30" s="27"/>
    </row>
    <row r="31" spans="1:16" x14ac:dyDescent="0.25">
      <c r="A31" s="26"/>
      <c r="B31" s="27"/>
      <c r="C31" s="27"/>
    </row>
    <row r="32" spans="1:16" x14ac:dyDescent="0.25">
      <c r="A32" s="26"/>
      <c r="B32" s="27"/>
      <c r="C32" s="27"/>
    </row>
    <row r="33" spans="1:3" x14ac:dyDescent="0.25">
      <c r="A33" s="26"/>
      <c r="B33" s="27"/>
      <c r="C33" s="27"/>
    </row>
    <row r="34" spans="1:3" x14ac:dyDescent="0.25">
      <c r="A34" s="24"/>
    </row>
    <row r="35" spans="1:3" x14ac:dyDescent="0.25">
      <c r="A35" s="23"/>
      <c r="B35" s="5"/>
      <c r="C35" s="5"/>
    </row>
    <row r="36" spans="1:3" x14ac:dyDescent="0.25">
      <c r="A36" s="23"/>
      <c r="B36" s="5"/>
      <c r="C36" s="5"/>
    </row>
    <row r="37" spans="1:3" x14ac:dyDescent="0.25">
      <c r="A37" s="23"/>
      <c r="B37" s="5"/>
      <c r="C37" s="5"/>
    </row>
    <row r="38" spans="1:3" x14ac:dyDescent="0.25">
      <c r="A38" s="23"/>
      <c r="B38" s="5"/>
      <c r="C38" s="5"/>
    </row>
    <row r="39" spans="1:3" x14ac:dyDescent="0.25">
      <c r="A39" s="23"/>
      <c r="B39" s="5"/>
      <c r="C39" s="5"/>
    </row>
    <row r="40" spans="1:3" x14ac:dyDescent="0.25">
      <c r="A40" s="23"/>
      <c r="B40" s="5"/>
      <c r="C40" s="5"/>
    </row>
    <row r="41" spans="1:3" x14ac:dyDescent="0.25">
      <c r="A41" s="23"/>
      <c r="B41" s="5"/>
      <c r="C41" s="5"/>
    </row>
    <row r="42" spans="1:3" x14ac:dyDescent="0.25">
      <c r="A42" s="23"/>
      <c r="B42" s="5"/>
      <c r="C42" s="5"/>
    </row>
    <row r="43" spans="1:3" x14ac:dyDescent="0.25">
      <c r="A43" s="23"/>
      <c r="B43" s="5"/>
      <c r="C43" s="5"/>
    </row>
    <row r="44" spans="1:3" x14ac:dyDescent="0.25">
      <c r="A44" s="23"/>
      <c r="B44" s="5"/>
      <c r="C44" s="5"/>
    </row>
    <row r="45" spans="1:3" x14ac:dyDescent="0.25">
      <c r="A45" s="23"/>
      <c r="B45" s="5"/>
      <c r="C45" s="5"/>
    </row>
    <row r="46" spans="1:3" x14ac:dyDescent="0.25">
      <c r="A46" s="23"/>
      <c r="B46" s="5"/>
      <c r="C46" s="5"/>
    </row>
    <row r="47" spans="1:3" x14ac:dyDescent="0.25">
      <c r="A47" s="23"/>
      <c r="B47" s="5"/>
      <c r="C47" s="5"/>
    </row>
    <row r="48" spans="1:3" x14ac:dyDescent="0.25">
      <c r="A48" s="23"/>
      <c r="B48" s="5"/>
      <c r="C48" s="5"/>
    </row>
    <row r="49" spans="1:3" x14ac:dyDescent="0.25">
      <c r="A49" s="23"/>
      <c r="B49" s="5"/>
      <c r="C49" s="5"/>
    </row>
    <row r="50" spans="1:3" x14ac:dyDescent="0.25">
      <c r="A50" s="23"/>
      <c r="B50" s="5"/>
      <c r="C50" s="5"/>
    </row>
    <row r="51" spans="1:3" x14ac:dyDescent="0.25">
      <c r="A51" s="23"/>
      <c r="B51" s="5"/>
      <c r="C51" s="5"/>
    </row>
    <row r="52" spans="1:3" x14ac:dyDescent="0.25">
      <c r="A52" s="23"/>
      <c r="B52" s="5"/>
      <c r="C52" s="5"/>
    </row>
    <row r="53" spans="1:3" x14ac:dyDescent="0.25">
      <c r="A53" s="23"/>
      <c r="B53" s="5"/>
      <c r="C53" s="5"/>
    </row>
    <row r="54" spans="1:3" x14ac:dyDescent="0.25">
      <c r="A54" s="23"/>
      <c r="B54" s="5"/>
      <c r="C54" s="5"/>
    </row>
    <row r="55" spans="1:3" x14ac:dyDescent="0.25">
      <c r="A55" s="23"/>
      <c r="B55" s="5"/>
      <c r="C55" s="5"/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6"/>
  <sheetViews>
    <sheetView workbookViewId="0">
      <selection sqref="A1:B15"/>
    </sheetView>
  </sheetViews>
  <sheetFormatPr defaultRowHeight="15" x14ac:dyDescent="0.25"/>
  <cols>
    <col min="1" max="1" width="15.85546875" bestFit="1" customWidth="1"/>
    <col min="2" max="2" width="57.5703125" bestFit="1" customWidth="1"/>
  </cols>
  <sheetData>
    <row r="1" spans="1:2" x14ac:dyDescent="0.25">
      <c r="A1" t="s">
        <v>371</v>
      </c>
      <c r="B1" t="s">
        <v>372</v>
      </c>
    </row>
    <row r="2" spans="1:2" x14ac:dyDescent="0.25">
      <c r="A2" t="s">
        <v>373</v>
      </c>
      <c r="B2" t="s">
        <v>374</v>
      </c>
    </row>
    <row r="3" spans="1:2" x14ac:dyDescent="0.25">
      <c r="A3" t="s">
        <v>21</v>
      </c>
      <c r="B3" t="s">
        <v>375</v>
      </c>
    </row>
    <row r="4" spans="1:2" x14ac:dyDescent="0.25">
      <c r="A4" t="s">
        <v>376</v>
      </c>
      <c r="B4" t="s">
        <v>377</v>
      </c>
    </row>
    <row r="5" spans="1:2" x14ac:dyDescent="0.25">
      <c r="A5" t="s">
        <v>378</v>
      </c>
      <c r="B5" t="s">
        <v>379</v>
      </c>
    </row>
    <row r="6" spans="1:2" x14ac:dyDescent="0.25">
      <c r="A6" t="s">
        <v>380</v>
      </c>
      <c r="B6" t="s">
        <v>381</v>
      </c>
    </row>
    <row r="7" spans="1:2" x14ac:dyDescent="0.25">
      <c r="A7" t="s">
        <v>382</v>
      </c>
      <c r="B7" t="s">
        <v>383</v>
      </c>
    </row>
    <row r="8" spans="1:2" x14ac:dyDescent="0.25">
      <c r="A8" t="s">
        <v>384</v>
      </c>
      <c r="B8" t="s">
        <v>385</v>
      </c>
    </row>
    <row r="9" spans="1:2" x14ac:dyDescent="0.25">
      <c r="A9" t="s">
        <v>386</v>
      </c>
      <c r="B9" t="s">
        <v>387</v>
      </c>
    </row>
    <row r="10" spans="1:2" x14ac:dyDescent="0.25">
      <c r="A10" t="s">
        <v>388</v>
      </c>
      <c r="B10" t="s">
        <v>389</v>
      </c>
    </row>
    <row r="11" spans="1:2" x14ac:dyDescent="0.25">
      <c r="A11" t="s">
        <v>390</v>
      </c>
      <c r="B11" t="s">
        <v>391</v>
      </c>
    </row>
    <row r="12" spans="1:2" x14ac:dyDescent="0.25">
      <c r="A12" t="s">
        <v>392</v>
      </c>
      <c r="B12" t="s">
        <v>393</v>
      </c>
    </row>
    <row r="13" spans="1:2" x14ac:dyDescent="0.25">
      <c r="A13" t="s">
        <v>394</v>
      </c>
      <c r="B13" t="s">
        <v>395</v>
      </c>
    </row>
    <row r="14" spans="1:2" x14ac:dyDescent="0.25">
      <c r="A14" t="s">
        <v>396</v>
      </c>
      <c r="B14" t="s">
        <v>397</v>
      </c>
    </row>
    <row r="15" spans="1:2" x14ac:dyDescent="0.25">
      <c r="A15" t="s">
        <v>111</v>
      </c>
      <c r="B15" t="s">
        <v>398</v>
      </c>
    </row>
    <row r="16" spans="1:2" ht="15.75" customHeight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8</vt:i4>
      </vt:variant>
    </vt:vector>
  </HeadingPairs>
  <TitlesOfParts>
    <vt:vector size="22" baseType="lpstr">
      <vt:lpstr>Home</vt:lpstr>
      <vt:lpstr>Database</vt:lpstr>
      <vt:lpstr>ExpandedTables</vt:lpstr>
      <vt:lpstr>AllTables</vt:lpstr>
      <vt:lpstr>Dimensions</vt:lpstr>
      <vt:lpstr>Facts</vt:lpstr>
      <vt:lpstr>StandardColumnTemplate</vt:lpstr>
      <vt:lpstr>bx_Finance</vt:lpstr>
      <vt:lpstr>bx_Airtime</vt:lpstr>
      <vt:lpstr>bx_Activity</vt:lpstr>
      <vt:lpstr>Risk</vt:lpstr>
      <vt:lpstr>Marketing</vt:lpstr>
      <vt:lpstr>Other</vt:lpstr>
      <vt:lpstr>NamedRangeDefintions</vt:lpstr>
      <vt:lpstr>BusMatrixName</vt:lpstr>
      <vt:lpstr>Description</vt:lpstr>
      <vt:lpstr>DimHeaders</vt:lpstr>
      <vt:lpstr>DtbName</vt:lpstr>
      <vt:lpstr>FactHeaders</vt:lpstr>
      <vt:lpstr>GenFK</vt:lpstr>
      <vt:lpstr>StandardCols</vt:lpstr>
      <vt:lpstr>Version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MarkGStacey</dc:creator>
  <cp:lastModifiedBy>Christina Leo</cp:lastModifiedBy>
  <cp:lastPrinted>2014-01-04T22:04:29Z</cp:lastPrinted>
  <dcterms:created xsi:type="dcterms:W3CDTF">2013-11-06T08:29:02Z</dcterms:created>
  <dcterms:modified xsi:type="dcterms:W3CDTF">2014-08-16T13:25:47Z</dcterms:modified>
</cp:coreProperties>
</file>